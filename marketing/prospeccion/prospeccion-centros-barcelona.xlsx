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'Centros'!$A$1:$R$32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  <sz val="10"/>
    </font>
    <font>
      <name val="Arial"/>
      <color rgb="00000000"/>
      <sz val="10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0151F"/>
      </patternFill>
    </fill>
    <fill>
      <patternFill patternType="solid">
        <fgColor rgb="00FFF1EC"/>
      </patternFill>
    </fill>
  </fills>
  <borders count="2">
    <border>
      <left/>
      <right/>
      <top/>
      <bottom/>
      <diagonal/>
    </border>
    <border>
      <bottom style="thin">
        <color rgb="00DADF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4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 Signal</author>
  </authors>
  <commentList>
    <comment ref="L1" authorId="0" shapeId="0">
      <text>
        <t>Rellena: cuándo enviaste el mensaje de prueba (ej. 14/10/2026 22:10).</t>
      </text>
    </comment>
    <comment ref="M1" authorId="0" shapeId="0">
      <text>
        <t>Rellena: cuándo llegó la primera respuesta (no un autorespuesta genérica).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2" customWidth="1" min="4" max="4"/>
    <col width="26" customWidth="1" min="5" max="5"/>
    <col width="26" customWidth="1" min="6" max="6"/>
    <col width="14" customWidth="1" min="7" max="7"/>
    <col width="14" customWidth="1" min="8" max="8"/>
    <col width="28" customWidth="1" min="9" max="9"/>
    <col width="10" customWidth="1" min="10" max="10"/>
    <col width="16" customWidth="1" min="11" max="11"/>
    <col width="20" customWidth="1" min="12" max="12"/>
    <col width="20" customWidth="1" min="13" max="13"/>
    <col width="12" customWidth="1" min="14" max="14"/>
    <col width="18" customWidth="1" min="15" max="15"/>
    <col width="18" customWidth="1" min="16" max="16"/>
    <col width="24" customWidth="1" min="17" max="17"/>
    <col width="34" customWidth="1" min="18" max="18"/>
    <col width="24" customWidth="1" min="19" max="19"/>
    <col width="24" customWidth="1" min="20" max="20"/>
  </cols>
  <sheetData>
    <row r="1" ht="42" customHeight="1">
      <c r="A1" s="1" t="inlineStr">
        <is>
          <t>#</t>
        </is>
      </c>
      <c r="B1" s="1" t="inlineStr">
        <is>
          <t>Centro</t>
        </is>
      </c>
      <c r="C1" s="1" t="inlineStr">
        <is>
          <t>Tipo</t>
        </is>
      </c>
      <c r="D1" s="1" t="inlineStr">
        <is>
          <t>Zona</t>
        </is>
      </c>
      <c r="E1" s="1" t="inlineStr">
        <is>
          <t>Web</t>
        </is>
      </c>
      <c r="F1" s="1" t="inlineStr">
        <is>
          <t>Instagram</t>
        </is>
      </c>
      <c r="G1" s="1" t="inlineStr">
        <is>
          <t>WhatsApp</t>
        </is>
      </c>
      <c r="H1" s="1" t="inlineStr">
        <is>
          <t>Teléfono</t>
        </is>
      </c>
      <c r="I1" s="1" t="inlineStr">
        <is>
          <t>Email</t>
        </is>
      </c>
      <c r="J1" s="1" t="inlineStr">
        <is>
          <t>Prioridad</t>
        </is>
      </c>
      <c r="K1" s="1" t="inlineStr">
        <is>
          <t>Canal recomendado</t>
        </is>
      </c>
      <c r="L1" s="1" t="inlineStr">
        <is>
          <t>Mensaje de prueba enviado (fecha y hora)</t>
        </is>
      </c>
      <c r="M1" s="1" t="inlineStr">
        <is>
          <t>Primera respuesta (fecha y hora)</t>
        </is>
      </c>
      <c r="N1" s="1" t="inlineStr">
        <is>
          <t>Tiempo de respuesta (horas)</t>
        </is>
      </c>
      <c r="O1" s="1" t="inlineStr">
        <is>
          <t>Resultado de la prueba</t>
        </is>
      </c>
      <c r="P1" s="1" t="inlineStr">
        <is>
          <t>Estado del contacto</t>
        </is>
      </c>
      <c r="Q1" s="1" t="inlineStr">
        <is>
          <t>Próximo paso / fecha</t>
        </is>
      </c>
      <c r="R1" s="1" t="inlineStr">
        <is>
          <t>Notas</t>
        </is>
      </c>
      <c r="S1" s="1" t="inlineStr">
        <is>
          <t>Variante oferta (A/B)</t>
        </is>
      </c>
      <c r="T1" s="1" t="inlineStr">
        <is>
          <t>Motivo de pérdida</t>
        </is>
      </c>
    </row>
    <row r="2">
      <c r="A2" s="2" t="inlineStr">
        <is>
          <t>Ej.</t>
        </is>
      </c>
      <c r="B2" s="2" t="inlineStr">
        <is>
          <t>EJEMPLO (borrar)</t>
        </is>
      </c>
      <c r="C2" s="2" t="inlineStr">
        <is>
          <t>Gimnasio</t>
        </is>
      </c>
      <c r="D2" s="2" t="inlineStr">
        <is>
          <t>Gràcia</t>
        </is>
      </c>
      <c r="E2" s="2" t="inlineStr">
        <is>
          <t>ejemplo.com</t>
        </is>
      </c>
      <c r="F2" s="2" t="inlineStr">
        <is>
          <t>@ejemplo</t>
        </is>
      </c>
      <c r="G2" s="2" t="inlineStr">
        <is>
          <t>600 00 00 00</t>
        </is>
      </c>
      <c r="H2" s="2" t="inlineStr"/>
      <c r="I2" s="2" t="inlineStr"/>
      <c r="J2" s="2" t="inlineStr">
        <is>
          <t>Alta</t>
        </is>
      </c>
      <c r="K2" s="2" t="inlineStr">
        <is>
          <t>Instagram DM</t>
        </is>
      </c>
      <c r="L2" s="10" t="n">
        <v>46309.92361111111</v>
      </c>
      <c r="M2" s="10" t="n">
        <v>46310.44791666666</v>
      </c>
      <c r="N2" s="2">
        <f>IF(AND(ISNUMBER(L2),ISNUMBER(M2)),ROUND((M2-L2)*24,1),"")</f>
        <v/>
      </c>
      <c r="O2" s="2">
        <f>IF(N2="","",IF(N2&lt;=0.25,"Rápido (≤15 min)",IF(N2&lt;=2,"Aceptable (≤2 h)","Lento (&gt;2 h)")))</f>
        <v/>
      </c>
      <c r="P2" s="2" t="inlineStr">
        <is>
          <t>Prueba hecha</t>
        </is>
      </c>
      <c r="Q2" s="4" t="inlineStr">
        <is>
          <t>Mandar DM con resultado · 16/10</t>
        </is>
      </c>
      <c r="R2" s="2" t="inlineStr">
        <is>
          <t>Fila de ejemplo</t>
        </is>
      </c>
    </row>
    <row r="3">
      <c r="A3" s="5" t="n">
        <v>1</v>
      </c>
      <c r="B3" s="5" t="inlineStr">
        <is>
          <t>Autoescola Kart</t>
        </is>
      </c>
      <c r="C3" s="5" t="inlineStr">
        <is>
          <t>Autoescuela</t>
        </is>
      </c>
      <c r="D3" s="5" t="inlineStr">
        <is>
          <t>Horta</t>
        </is>
      </c>
      <c r="E3" s="5" t="inlineStr">
        <is>
          <t>kartautoescola.es</t>
        </is>
      </c>
      <c r="F3" s="5" t="inlineStr">
        <is>
          <t>@kartautoescola</t>
        </is>
      </c>
      <c r="G3" s="5" t="inlineStr"/>
      <c r="H3" s="5" t="inlineStr">
        <is>
          <t>672 252 489</t>
        </is>
      </c>
      <c r="I3" s="5" t="inlineStr">
        <is>
          <t>info@kartautoescola.es</t>
        </is>
      </c>
      <c r="J3" s="5" t="inlineStr">
        <is>
          <t>Alta</t>
        </is>
      </c>
      <c r="K3" s="5" t="inlineStr">
        <is>
          <t>Instagram DM</t>
        </is>
      </c>
      <c r="L3" s="11" t="n"/>
      <c r="M3" s="11" t="n"/>
      <c r="N3" s="5">
        <f>IF(AND(ISNUMBER(L3),ISNUMBER(M3)),ROUND((M3-L3)*24,1),"")</f>
        <v/>
      </c>
      <c r="O3" s="5">
        <f>IF(N3="","",IF(N3&lt;=0.25,"Rápido (≤15 min)",IF(N3&lt;=2,"Aceptable (≤2 h)","Lento (&gt;2 h)")))</f>
        <v/>
      </c>
      <c r="P3" s="5" t="inlineStr">
        <is>
          <t>Pendiente</t>
        </is>
      </c>
      <c r="Q3" s="7" t="inlineStr"/>
      <c r="R3" s="5" t="inlineStr">
        <is>
          <t>Pequeña, independiente</t>
        </is>
      </c>
      <c r="S3" t="inlineStr">
        <is>
          <t>A</t>
        </is>
      </c>
    </row>
    <row r="4">
      <c r="A4" s="5" t="n">
        <v>2</v>
      </c>
      <c r="B4" s="5" t="inlineStr">
        <is>
          <t>Pegaso Autoescola</t>
        </is>
      </c>
      <c r="C4" s="5" t="inlineStr">
        <is>
          <t>Autoescuela</t>
        </is>
      </c>
      <c r="D4" s="5" t="inlineStr">
        <is>
          <t>La Sagrera / Sant Andreu</t>
        </is>
      </c>
      <c r="E4" s="5" t="inlineStr">
        <is>
          <t>pegasoautoescola.es</t>
        </is>
      </c>
      <c r="F4" s="5" t="inlineStr"/>
      <c r="G4" s="5" t="inlineStr"/>
      <c r="H4" s="5" t="inlineStr">
        <is>
          <t>93 315 35 85</t>
        </is>
      </c>
      <c r="I4" s="5" t="inlineStr">
        <is>
          <t>pegasoautoescola@gmail.com</t>
        </is>
      </c>
      <c r="J4" s="5" t="inlineStr">
        <is>
          <t>Alta</t>
        </is>
      </c>
      <c r="K4" s="5" t="inlineStr">
        <is>
          <t>Teléfono</t>
        </is>
      </c>
      <c r="L4" s="11" t="n"/>
      <c r="M4" s="11" t="n"/>
      <c r="N4" s="5">
        <f>IF(AND(ISNUMBER(L4),ISNUMBER(M4)),ROUND((M4-L4)*24,1),"")</f>
        <v/>
      </c>
      <c r="O4" s="5">
        <f>IF(N4="","",IF(N4&lt;=0.25,"Rápido (≤15 min)",IF(N4&lt;=2,"Aceptable (≤2 h)","Lento (&gt;2 h)")))</f>
        <v/>
      </c>
      <c r="P4" s="5" t="inlineStr">
        <is>
          <t>Pendiente</t>
        </is>
      </c>
      <c r="Q4" s="7" t="inlineStr"/>
      <c r="R4" s="5" t="inlineStr">
        <is>
          <t>Pequeña; sin Instagram en la web</t>
        </is>
      </c>
      <c r="S4" t="inlineStr">
        <is>
          <t>B</t>
        </is>
      </c>
    </row>
    <row r="5">
      <c r="A5" s="5" t="n">
        <v>3</v>
      </c>
      <c r="B5" s="5" t="inlineStr">
        <is>
          <t>Alba Autoescola</t>
        </is>
      </c>
      <c r="C5" s="5" t="inlineStr">
        <is>
          <t>Autoescuela</t>
        </is>
      </c>
      <c r="D5" s="5" t="inlineStr">
        <is>
          <t>Barcelona</t>
        </is>
      </c>
      <c r="E5" s="5" t="inlineStr">
        <is>
          <t>albaautoescola.com</t>
        </is>
      </c>
      <c r="F5" s="5" t="inlineStr">
        <is>
          <t>@albaautoescola</t>
        </is>
      </c>
      <c r="G5" s="5" t="inlineStr"/>
      <c r="H5" s="5" t="inlineStr">
        <is>
          <t>93 519 32 86</t>
        </is>
      </c>
      <c r="I5" s="5" t="inlineStr"/>
      <c r="J5" s="5" t="inlineStr">
        <is>
          <t>Alta</t>
        </is>
      </c>
      <c r="K5" s="5" t="inlineStr">
        <is>
          <t>Instagram DM</t>
        </is>
      </c>
      <c r="L5" s="11" t="n"/>
      <c r="M5" s="11" t="n"/>
      <c r="N5" s="5">
        <f>IF(AND(ISNUMBER(L5),ISNUMBER(M5)),ROUND((M5-L5)*24,1),"")</f>
        <v/>
      </c>
      <c r="O5" s="5">
        <f>IF(N5="","",IF(N5&lt;=0.25,"Rápido (≤15 min)",IF(N5&lt;=2,"Aceptable (≤2 h)","Lento (&gt;2 h)")))</f>
        <v/>
      </c>
      <c r="P5" s="5" t="inlineStr">
        <is>
          <t>Pendiente</t>
        </is>
      </c>
      <c r="Q5" s="7" t="inlineStr"/>
      <c r="R5" s="5" t="inlineStr"/>
      <c r="S5" t="inlineStr">
        <is>
          <t>A</t>
        </is>
      </c>
    </row>
    <row r="6">
      <c r="A6" s="5" t="n">
        <v>4</v>
      </c>
      <c r="B6" s="5" t="inlineStr">
        <is>
          <t>Autoescuela Montero Espinosa</t>
        </is>
      </c>
      <c r="C6" s="5" t="inlineStr">
        <is>
          <t>Autoescuela</t>
        </is>
      </c>
      <c r="D6" s="5" t="inlineStr">
        <is>
          <t>Eixample (Entença)</t>
        </is>
      </c>
      <c r="E6" s="5" t="inlineStr">
        <is>
          <t>autoescuelamonteroespinosa.com</t>
        </is>
      </c>
      <c r="F6" s="5" t="inlineStr">
        <is>
          <t>@autoescuelamonteroespinosa</t>
        </is>
      </c>
      <c r="G6" s="5" t="inlineStr">
        <is>
          <t>626 00 57 49</t>
        </is>
      </c>
      <c r="H6" s="5" t="inlineStr"/>
      <c r="I6" s="5" t="inlineStr"/>
      <c r="J6" s="5" t="inlineStr">
        <is>
          <t>Media</t>
        </is>
      </c>
      <c r="K6" s="5" t="inlineStr">
        <is>
          <t>Instagram DM</t>
        </is>
      </c>
      <c r="L6" s="11" t="n"/>
      <c r="M6" s="11" t="n"/>
      <c r="N6" s="5">
        <f>IF(AND(ISNUMBER(L6),ISNUMBER(M6)),ROUND((M6-L6)*24,1),"")</f>
        <v/>
      </c>
      <c r="O6" s="5">
        <f>IF(N6="","",IF(N6&lt;=0.25,"Rápido (≤15 min)",IF(N6&lt;=2,"Aceptable (≤2 h)","Lento (&gt;2 h)")))</f>
        <v/>
      </c>
      <c r="P6" s="5" t="inlineStr">
        <is>
          <t>Pendiente</t>
        </is>
      </c>
      <c r="Q6" s="7" t="inlineStr"/>
      <c r="R6" s="5" t="inlineStr">
        <is>
          <t>Varios centros; ya usa WhatsApp</t>
        </is>
      </c>
      <c r="S6" t="inlineStr">
        <is>
          <t>B</t>
        </is>
      </c>
    </row>
    <row r="7">
      <c r="A7" s="5" t="n">
        <v>5</v>
      </c>
      <c r="B7" s="5" t="inlineStr">
        <is>
          <t>Autoescola Racing Eixample</t>
        </is>
      </c>
      <c r="C7" s="5" t="inlineStr">
        <is>
          <t>Autoescuela</t>
        </is>
      </c>
      <c r="D7" s="5" t="inlineStr">
        <is>
          <t>Eixample (Consell de Cent)</t>
        </is>
      </c>
      <c r="E7" s="5" t="inlineStr">
        <is>
          <t>racingeixample.com</t>
        </is>
      </c>
      <c r="F7" s="5" t="inlineStr"/>
      <c r="G7" s="5" t="inlineStr"/>
      <c r="H7" s="5" t="inlineStr">
        <is>
          <t>93 017 69 13</t>
        </is>
      </c>
      <c r="I7" s="5" t="inlineStr">
        <is>
          <t>info@racingeixample.com</t>
        </is>
      </c>
      <c r="J7" s="5" t="inlineStr">
        <is>
          <t>Alta</t>
        </is>
      </c>
      <c r="K7" s="5" t="inlineStr">
        <is>
          <t>Teléfono</t>
        </is>
      </c>
      <c r="L7" s="11" t="n"/>
      <c r="M7" s="11" t="n"/>
      <c r="N7" s="5">
        <f>IF(AND(ISNUMBER(L7),ISNUMBER(M7)),ROUND((M7-L7)*24,1),"")</f>
        <v/>
      </c>
      <c r="O7" s="5">
        <f>IF(N7="","",IF(N7&lt;=0.25,"Rápido (≤15 min)",IF(N7&lt;=2,"Aceptable (≤2 h)","Lento (&gt;2 h)")))</f>
        <v/>
      </c>
      <c r="P7" s="5" t="inlineStr">
        <is>
          <t>Pendiente</t>
        </is>
      </c>
      <c r="Q7" s="7" t="inlineStr"/>
      <c r="R7" s="5" t="inlineStr">
        <is>
          <t>Datos de guia.barcelona.cat</t>
        </is>
      </c>
      <c r="S7" t="inlineStr">
        <is>
          <t>A</t>
        </is>
      </c>
    </row>
    <row r="8">
      <c r="A8" s="5" t="n">
        <v>6</v>
      </c>
      <c r="B8" s="5" t="inlineStr">
        <is>
          <t>Autoescola Dakar</t>
        </is>
      </c>
      <c r="C8" s="5" t="inlineStr">
        <is>
          <t>Autoescuela</t>
        </is>
      </c>
      <c r="D8" s="5" t="inlineStr">
        <is>
          <t>Clot (Rogent 43)</t>
        </is>
      </c>
      <c r="E8" s="5" t="inlineStr"/>
      <c r="F8" s="5" t="inlineStr"/>
      <c r="G8" s="5" t="inlineStr"/>
      <c r="H8" s="5" t="inlineStr"/>
      <c r="I8" s="5" t="inlineStr"/>
      <c r="J8" s="5" t="inlineStr">
        <is>
          <t>Media</t>
        </is>
      </c>
      <c r="K8" s="5" t="inlineStr">
        <is>
          <t>Buscar contacto</t>
        </is>
      </c>
      <c r="L8" s="11" t="n"/>
      <c r="M8" s="11" t="n"/>
      <c r="N8" s="5">
        <f>IF(AND(ISNUMBER(L8),ISNUMBER(M8)),ROUND((M8-L8)*24,1),"")</f>
        <v/>
      </c>
      <c r="O8" s="5">
        <f>IF(N8="","",IF(N8&lt;=0.25,"Rápido (≤15 min)",IF(N8&lt;=2,"Aceptable (≤2 h)","Lento (&gt;2 h)")))</f>
        <v/>
      </c>
      <c r="P8" s="5" t="inlineStr">
        <is>
          <t>Pendiente</t>
        </is>
      </c>
      <c r="Q8" s="7" t="inlineStr"/>
      <c r="R8" s="5" t="inlineStr">
        <is>
          <t>Buscar Instagram/teléfono en Google Maps</t>
        </is>
      </c>
      <c r="S8" t="inlineStr">
        <is>
          <t>B</t>
        </is>
      </c>
    </row>
    <row r="9">
      <c r="A9" s="5" t="n">
        <v>7</v>
      </c>
      <c r="B9" s="5" t="inlineStr">
        <is>
          <t>Autoescola Singuerlin</t>
        </is>
      </c>
      <c r="C9" s="5" t="inlineStr">
        <is>
          <t>Autoescuela</t>
        </is>
      </c>
      <c r="D9" s="5" t="inlineStr">
        <is>
          <t>Santa Coloma de Gramenet</t>
        </is>
      </c>
      <c r="E9" s="5" t="inlineStr">
        <is>
          <t>autoescolasinguerlin.com</t>
        </is>
      </c>
      <c r="F9" s="5" t="inlineStr">
        <is>
          <t>(perfil por ubicación)</t>
        </is>
      </c>
      <c r="G9" s="5" t="inlineStr">
        <is>
          <t>647 97 99 26</t>
        </is>
      </c>
      <c r="H9" s="5" t="inlineStr"/>
      <c r="I9" s="5" t="inlineStr"/>
      <c r="J9" s="5" t="inlineStr">
        <is>
          <t>Media</t>
        </is>
      </c>
      <c r="K9" s="5" t="inlineStr">
        <is>
          <t>WhatsApp</t>
        </is>
      </c>
      <c r="L9" s="11" t="n"/>
      <c r="M9" s="11" t="n"/>
      <c r="N9" s="5">
        <f>IF(AND(ISNUMBER(L9),ISNUMBER(M9)),ROUND((M9-L9)*24,1),"")</f>
        <v/>
      </c>
      <c r="O9" s="5">
        <f>IF(N9="","",IF(N9&lt;=0.25,"Rápido (≤15 min)",IF(N9&lt;=2,"Aceptable (≤2 h)","Lento (&gt;2 h)")))</f>
        <v/>
      </c>
      <c r="P9" s="5" t="inlineStr">
        <is>
          <t>Pendiente</t>
        </is>
      </c>
      <c r="Q9" s="7" t="inlineStr"/>
      <c r="R9" s="5" t="inlineStr">
        <is>
          <t>Fuera de BCN ciudad</t>
        </is>
      </c>
      <c r="S9" t="inlineStr">
        <is>
          <t>A</t>
        </is>
      </c>
    </row>
    <row r="10">
      <c r="A10" s="5" t="n">
        <v>8</v>
      </c>
      <c r="B10" s="5" t="inlineStr">
        <is>
          <t>Zona F Autoescola</t>
        </is>
      </c>
      <c r="C10" s="5" t="inlineStr">
        <is>
          <t>Autoescuela</t>
        </is>
      </c>
      <c r="D10" s="5" t="inlineStr">
        <is>
          <t>Varios (BCN y área)</t>
        </is>
      </c>
      <c r="E10" s="5" t="inlineStr">
        <is>
          <t>autoescuela-barcelona.com</t>
        </is>
      </c>
      <c r="F10" s="5" t="inlineStr">
        <is>
          <t>@autoescolazonaf</t>
        </is>
      </c>
      <c r="G10" s="5" t="inlineStr">
        <is>
          <t>678 48 49 60</t>
        </is>
      </c>
      <c r="H10" s="5" t="inlineStr">
        <is>
          <t>93 332 55 32</t>
        </is>
      </c>
      <c r="I10" s="5" t="inlineStr">
        <is>
          <t>hola@zonaf.es</t>
        </is>
      </c>
      <c r="J10" s="5" t="inlineStr">
        <is>
          <t>Baja</t>
        </is>
      </c>
      <c r="K10" s="5" t="inlineStr">
        <is>
          <t>Instagram DM</t>
        </is>
      </c>
      <c r="L10" s="11" t="n"/>
      <c r="M10" s="11" t="n"/>
      <c r="N10" s="5">
        <f>IF(AND(ISNUMBER(L10),ISNUMBER(M10)),ROUND((M10-L10)*24,1),"")</f>
        <v/>
      </c>
      <c r="O10" s="5">
        <f>IF(N10="","",IF(N10&lt;=0.25,"Rápido (≤15 min)",IF(N10&lt;=2,"Aceptable (≤2 h)","Lento (&gt;2 h)")))</f>
        <v/>
      </c>
      <c r="P10" s="5" t="inlineStr">
        <is>
          <t>Pendiente</t>
        </is>
      </c>
      <c r="Q10" s="7" t="inlineStr"/>
      <c r="R10" s="5" t="inlineStr">
        <is>
          <t>Cadena local (~20 centros): ciclo de venta largo</t>
        </is>
      </c>
      <c r="S10" t="inlineStr">
        <is>
          <t>B</t>
        </is>
      </c>
    </row>
    <row r="11">
      <c r="A11" s="5" t="n">
        <v>9</v>
      </c>
      <c r="B11" s="5" t="inlineStr">
        <is>
          <t>CIVHE Centre d'Idiomes</t>
        </is>
      </c>
      <c r="C11" s="5" t="inlineStr">
        <is>
          <t>Academia idiomas</t>
        </is>
      </c>
      <c r="D11" s="5" t="inlineStr">
        <is>
          <t>Vall d'Hebron</t>
        </is>
      </c>
      <c r="E11" s="5" t="inlineStr">
        <is>
          <t>civhe.net</t>
        </is>
      </c>
      <c r="F11" s="5" t="inlineStr">
        <is>
          <t>@centredidiomesvalldhebron</t>
        </is>
      </c>
      <c r="G11" s="5" t="inlineStr">
        <is>
          <t>658 50 31 14</t>
        </is>
      </c>
      <c r="H11" s="5" t="inlineStr"/>
      <c r="I11" s="5" t="inlineStr">
        <is>
          <t>civhe@hotmail.com</t>
        </is>
      </c>
      <c r="J11" s="5" t="inlineStr">
        <is>
          <t>Alta</t>
        </is>
      </c>
      <c r="K11" s="5" t="inlineStr">
        <is>
          <t>Instagram DM</t>
        </is>
      </c>
      <c r="L11" s="11" t="n"/>
      <c r="M11" s="11" t="n"/>
      <c r="N11" s="5">
        <f>IF(AND(ISNUMBER(L11),ISNUMBER(M11)),ROUND((M11-L11)*24,1),"")</f>
        <v/>
      </c>
      <c r="O11" s="5">
        <f>IF(N11="","",IF(N11&lt;=0.25,"Rápido (≤15 min)",IF(N11&lt;=2,"Aceptable (≤2 h)","Lento (&gt;2 h)")))</f>
        <v/>
      </c>
      <c r="P11" s="5" t="inlineStr">
        <is>
          <t>Pendiente</t>
        </is>
      </c>
      <c r="Q11" s="7" t="inlineStr"/>
      <c r="R11" s="5" t="inlineStr">
        <is>
          <t>Academia de barrio</t>
        </is>
      </c>
      <c r="S11" t="inlineStr">
        <is>
          <t>A</t>
        </is>
      </c>
    </row>
    <row r="12">
      <c r="A12" s="5" t="n">
        <v>10</v>
      </c>
      <c r="B12" s="5" t="inlineStr">
        <is>
          <t>Winter School</t>
        </is>
      </c>
      <c r="C12" s="5" t="inlineStr">
        <is>
          <t>Academia idiomas</t>
        </is>
      </c>
      <c r="D12" s="5" t="inlineStr">
        <is>
          <t>Barcelona</t>
        </is>
      </c>
      <c r="E12" s="5" t="inlineStr">
        <is>
          <t>winterschool.net</t>
        </is>
      </c>
      <c r="F12" s="5" t="inlineStr"/>
      <c r="G12" s="5" t="inlineStr"/>
      <c r="H12" s="5" t="inlineStr">
        <is>
          <t>93 456 54 80</t>
        </is>
      </c>
      <c r="I12" s="5" t="inlineStr"/>
      <c r="J12" s="5" t="inlineStr">
        <is>
          <t>Alta</t>
        </is>
      </c>
      <c r="K12" s="5" t="inlineStr">
        <is>
          <t>Teléfono</t>
        </is>
      </c>
      <c r="L12" s="11" t="n"/>
      <c r="M12" s="11" t="n"/>
      <c r="N12" s="5">
        <f>IF(AND(ISNUMBER(L12),ISNUMBER(M12)),ROUND((M12-L12)*24,1),"")</f>
        <v/>
      </c>
      <c r="O12" s="5">
        <f>IF(N12="","",IF(N12&lt;=0.25,"Rápido (≤15 min)",IF(N12&lt;=2,"Aceptable (≤2 h)","Lento (&gt;2 h)")))</f>
        <v/>
      </c>
      <c r="P12" s="5" t="inlineStr">
        <is>
          <t>Pendiente</t>
        </is>
      </c>
      <c r="Q12" s="7" t="inlineStr"/>
      <c r="R12" s="5" t="inlineStr">
        <is>
          <t>+40 años; sin WhatsApp en la web</t>
        </is>
      </c>
      <c r="S12" t="inlineStr">
        <is>
          <t>B</t>
        </is>
      </c>
    </row>
    <row r="13">
      <c r="A13" s="5" t="n">
        <v>11</v>
      </c>
      <c r="B13" s="5" t="inlineStr">
        <is>
          <t>Britannia School</t>
        </is>
      </c>
      <c r="C13" s="5" t="inlineStr">
        <is>
          <t>Academia idiomas</t>
        </is>
      </c>
      <c r="D13" s="5" t="inlineStr">
        <is>
          <t>Barcelona</t>
        </is>
      </c>
      <c r="E13" s="5" t="inlineStr">
        <is>
          <t>britanniaschool.com</t>
        </is>
      </c>
      <c r="F13" s="5" t="inlineStr">
        <is>
          <t>@britanniaschool</t>
        </is>
      </c>
      <c r="G13" s="5" t="inlineStr">
        <is>
          <t>606 45 11 76</t>
        </is>
      </c>
      <c r="H13" s="5" t="inlineStr">
        <is>
          <t>93 200 01 00</t>
        </is>
      </c>
      <c r="I13" s="5" t="inlineStr"/>
      <c r="J13" s="5" t="inlineStr">
        <is>
          <t>Media</t>
        </is>
      </c>
      <c r="K13" s="5" t="inlineStr">
        <is>
          <t>Instagram DM</t>
        </is>
      </c>
      <c r="L13" s="11" t="n"/>
      <c r="M13" s="11" t="n"/>
      <c r="N13" s="5">
        <f>IF(AND(ISNUMBER(L13),ISNUMBER(M13)),ROUND((M13-L13)*24,1),"")</f>
        <v/>
      </c>
      <c r="O13" s="5">
        <f>IF(N13="","",IF(N13&lt;=0.25,"Rápido (≤15 min)",IF(N13&lt;=2,"Aceptable (≤2 h)","Lento (&gt;2 h)")))</f>
        <v/>
      </c>
      <c r="P13" s="5" t="inlineStr">
        <is>
          <t>Pendiente</t>
        </is>
      </c>
      <c r="Q13" s="7" t="inlineStr"/>
      <c r="R13" s="5" t="inlineStr"/>
      <c r="S13" t="inlineStr">
        <is>
          <t>A</t>
        </is>
      </c>
    </row>
    <row r="14">
      <c r="A14" s="5" t="n">
        <v>12</v>
      </c>
      <c r="B14" s="5" t="inlineStr">
        <is>
          <t>English Connection</t>
        </is>
      </c>
      <c r="C14" s="5" t="inlineStr">
        <is>
          <t>Academia idiomas</t>
        </is>
      </c>
      <c r="D14" s="5" t="inlineStr">
        <is>
          <t>Nou Barris / Poblenou / Sagrada Família / Sant Andreu</t>
        </is>
      </c>
      <c r="E14" s="5" t="inlineStr">
        <is>
          <t>englishconnection.es</t>
        </is>
      </c>
      <c r="F14" s="5" t="inlineStr">
        <is>
          <t>@english.connection.academias</t>
        </is>
      </c>
      <c r="G14" s="5" t="inlineStr"/>
      <c r="H14" s="5" t="inlineStr">
        <is>
          <t>628 18 47 55</t>
        </is>
      </c>
      <c r="I14" s="5" t="inlineStr">
        <is>
          <t>info@englishconnection.es</t>
        </is>
      </c>
      <c r="J14" s="5" t="inlineStr">
        <is>
          <t>Media</t>
        </is>
      </c>
      <c r="K14" s="5" t="inlineStr">
        <is>
          <t>Instagram DM</t>
        </is>
      </c>
      <c r="L14" s="11" t="n"/>
      <c r="M14" s="11" t="n"/>
      <c r="N14" s="5">
        <f>IF(AND(ISNUMBER(L14),ISNUMBER(M14)),ROUND((M14-L14)*24,1),"")</f>
        <v/>
      </c>
      <c r="O14" s="5">
        <f>IF(N14="","",IF(N14&lt;=0.25,"Rápido (≤15 min)",IF(N14&lt;=2,"Aceptable (≤2 h)","Lento (&gt;2 h)")))</f>
        <v/>
      </c>
      <c r="P14" s="5" t="inlineStr">
        <is>
          <t>Pendiente</t>
        </is>
      </c>
      <c r="Q14" s="7" t="inlineStr"/>
      <c r="R14" s="5" t="inlineStr">
        <is>
          <t>4 academias en BCN</t>
        </is>
      </c>
      <c r="S14" t="inlineStr">
        <is>
          <t>B</t>
        </is>
      </c>
    </row>
    <row r="15">
      <c r="A15" s="5" t="n">
        <v>13</v>
      </c>
      <c r="B15" s="5" t="inlineStr">
        <is>
          <t>What's Up! Nou Barris</t>
        </is>
      </c>
      <c r="C15" s="5" t="inlineStr">
        <is>
          <t>Academia idiomas</t>
        </is>
      </c>
      <c r="D15" s="5" t="inlineStr">
        <is>
          <t>Nou Barris (Via Júlia 76)</t>
        </is>
      </c>
      <c r="E15" s="5" t="inlineStr">
        <is>
          <t>whatsup.es</t>
        </is>
      </c>
      <c r="F15" s="5" t="inlineStr">
        <is>
          <t>@whatsuplivingenglish</t>
        </is>
      </c>
      <c r="G15" s="5" t="inlineStr"/>
      <c r="H15" s="5" t="inlineStr"/>
      <c r="I15" s="5" t="inlineStr">
        <is>
          <t>noubarris@whatsup.es</t>
        </is>
      </c>
      <c r="J15" s="5" t="inlineStr">
        <is>
          <t>Baja</t>
        </is>
      </c>
      <c r="K15" s="5" t="inlineStr">
        <is>
          <t>Instagram DM</t>
        </is>
      </c>
      <c r="L15" s="11" t="n"/>
      <c r="M15" s="11" t="n"/>
      <c r="N15" s="5">
        <f>IF(AND(ISNUMBER(L15),ISNUMBER(M15)),ROUND((M15-L15)*24,1),"")</f>
        <v/>
      </c>
      <c r="O15" s="5">
        <f>IF(N15="","",IF(N15&lt;=0.25,"Rápido (≤15 min)",IF(N15&lt;=2,"Aceptable (≤2 h)","Lento (&gt;2 h)")))</f>
        <v/>
      </c>
      <c r="P15" s="5" t="inlineStr">
        <is>
          <t>Pendiente</t>
        </is>
      </c>
      <c r="Q15" s="7" t="inlineStr"/>
      <c r="R15" s="5" t="inlineStr">
        <is>
          <t>Franquicia</t>
        </is>
      </c>
      <c r="S15" t="inlineStr">
        <is>
          <t>A</t>
        </is>
      </c>
    </row>
    <row r="16">
      <c r="A16" s="5" t="n">
        <v>14</v>
      </c>
      <c r="B16" s="5" t="inlineStr">
        <is>
          <t>Centro de Estudios da Vinci</t>
        </is>
      </c>
      <c r="C16" s="5" t="inlineStr">
        <is>
          <t>Academia repaso</t>
        </is>
      </c>
      <c r="D16" s="5" t="inlineStr">
        <is>
          <t>Barcelona</t>
        </is>
      </c>
      <c r="E16" s="5" t="inlineStr">
        <is>
          <t>centroestudiosdavinci.com</t>
        </is>
      </c>
      <c r="F16" s="5" t="inlineStr">
        <is>
          <t>@centroestudiosdavinci</t>
        </is>
      </c>
      <c r="G16" s="5" t="inlineStr"/>
      <c r="H16" s="5" t="inlineStr"/>
      <c r="I16" s="5" t="inlineStr"/>
      <c r="J16" s="5" t="inlineStr">
        <is>
          <t>Alta</t>
        </is>
      </c>
      <c r="K16" s="5" t="inlineStr">
        <is>
          <t>Instagram DM</t>
        </is>
      </c>
      <c r="L16" s="11" t="n"/>
      <c r="M16" s="11" t="n"/>
      <c r="N16" s="5">
        <f>IF(AND(ISNUMBER(L16),ISNUMBER(M16)),ROUND((M16-L16)*24,1),"")</f>
        <v/>
      </c>
      <c r="O16" s="5">
        <f>IF(N16="","",IF(N16&lt;=0.25,"Rápido (≤15 min)",IF(N16&lt;=2,"Aceptable (≤2 h)","Lento (&gt;2 h)")))</f>
        <v/>
      </c>
      <c r="P16" s="5" t="inlineStr">
        <is>
          <t>Pendiente</t>
        </is>
      </c>
      <c r="Q16" s="7" t="inlineStr"/>
      <c r="R16" s="5" t="inlineStr">
        <is>
          <t>Repaso y Selectividad</t>
        </is>
      </c>
      <c r="S16" t="inlineStr">
        <is>
          <t>B</t>
        </is>
      </c>
    </row>
    <row r="17">
      <c r="A17" s="5" t="n">
        <v>15</v>
      </c>
      <c r="B17" s="5" t="inlineStr">
        <is>
          <t>Academia Gala</t>
        </is>
      </c>
      <c r="C17" s="5" t="inlineStr">
        <is>
          <t>Academia repaso</t>
        </is>
      </c>
      <c r="D17" s="5" t="inlineStr">
        <is>
          <t>Barcelona</t>
        </is>
      </c>
      <c r="E17" s="5" t="inlineStr">
        <is>
          <t>academiarepasobarcelona.es</t>
        </is>
      </c>
      <c r="F17" s="5" t="inlineStr"/>
      <c r="G17" s="5" t="inlineStr"/>
      <c r="H17" s="5" t="inlineStr">
        <is>
          <t>640 22 03 68</t>
        </is>
      </c>
      <c r="I17" s="5" t="inlineStr">
        <is>
          <t>info@academiarepasobarcelona.es</t>
        </is>
      </c>
      <c r="J17" s="5" t="inlineStr">
        <is>
          <t>Alta</t>
        </is>
      </c>
      <c r="K17" s="5" t="inlineStr">
        <is>
          <t>Teléfono</t>
        </is>
      </c>
      <c r="L17" s="11" t="n"/>
      <c r="M17" s="11" t="n"/>
      <c r="N17" s="5">
        <f>IF(AND(ISNUMBER(L17),ISNUMBER(M17)),ROUND((M17-L17)*24,1),"")</f>
        <v/>
      </c>
      <c r="O17" s="5">
        <f>IF(N17="","",IF(N17&lt;=0.25,"Rápido (≤15 min)",IF(N17&lt;=2,"Aceptable (≤2 h)","Lento (&gt;2 h)")))</f>
        <v/>
      </c>
      <c r="P17" s="5" t="inlineStr">
        <is>
          <t>Pendiente</t>
        </is>
      </c>
      <c r="Q17" s="7" t="inlineStr"/>
      <c r="R17" s="5" t="inlineStr">
        <is>
          <t>Móvil: probable WhatsApp</t>
        </is>
      </c>
      <c r="S17" t="inlineStr">
        <is>
          <t>A</t>
        </is>
      </c>
    </row>
    <row r="18">
      <c r="A18" s="5" t="n">
        <v>16</v>
      </c>
      <c r="B18" s="5" t="inlineStr">
        <is>
          <t>Pas a Pas Acadèmia</t>
        </is>
      </c>
      <c r="C18" s="5" t="inlineStr">
        <is>
          <t>Academia repaso</t>
        </is>
      </c>
      <c r="D18" s="5" t="inlineStr">
        <is>
          <t>Sants</t>
        </is>
      </c>
      <c r="E18" s="5" t="inlineStr"/>
      <c r="F18" s="5" t="inlineStr"/>
      <c r="G18" s="5" t="inlineStr"/>
      <c r="H18" s="5" t="inlineStr">
        <is>
          <t>93 411 94 54</t>
        </is>
      </c>
      <c r="I18" s="5" t="inlineStr"/>
      <c r="J18" s="5" t="inlineStr">
        <is>
          <t>Media</t>
        </is>
      </c>
      <c r="K18" s="5" t="inlineStr">
        <is>
          <t>Teléfono</t>
        </is>
      </c>
      <c r="L18" s="11" t="n"/>
      <c r="M18" s="11" t="n"/>
      <c r="N18" s="5">
        <f>IF(AND(ISNUMBER(L18),ISNUMBER(M18)),ROUND((M18-L18)*24,1),"")</f>
        <v/>
      </c>
      <c r="O18" s="5">
        <f>IF(N18="","",IF(N18&lt;=0.25,"Rápido (≤15 min)",IF(N18&lt;=2,"Aceptable (≤2 h)","Lento (&gt;2 h)")))</f>
        <v/>
      </c>
      <c r="P18" s="5" t="inlineStr">
        <is>
          <t>Pendiente</t>
        </is>
      </c>
      <c r="Q18" s="7" t="inlineStr"/>
      <c r="R18" s="5" t="inlineStr">
        <is>
          <t>Teléfono de directorio (serveisactius.cat): verificar</t>
        </is>
      </c>
      <c r="S18" t="inlineStr">
        <is>
          <t>B</t>
        </is>
      </c>
    </row>
    <row r="19">
      <c r="A19" s="5" t="n">
        <v>17</v>
      </c>
      <c r="B19" s="5" t="inlineStr">
        <is>
          <t>Centro Innova Barcelona</t>
        </is>
      </c>
      <c r="C19" s="5" t="inlineStr">
        <is>
          <t>Academia oposiciones</t>
        </is>
      </c>
      <c r="D19" s="5" t="inlineStr">
        <is>
          <t>Gran Via de les Corts</t>
        </is>
      </c>
      <c r="E19" s="5" t="inlineStr"/>
      <c r="F19" s="5" t="inlineStr">
        <is>
          <t>(buscar en Instagram)</t>
        </is>
      </c>
      <c r="G19" s="5" t="inlineStr"/>
      <c r="H19" s="5" t="inlineStr"/>
      <c r="I19" s="5" t="inlineStr"/>
      <c r="J19" s="5" t="inlineStr">
        <is>
          <t>Media</t>
        </is>
      </c>
      <c r="K19" s="5" t="inlineStr">
        <is>
          <t>Buscar contacto</t>
        </is>
      </c>
      <c r="L19" s="11" t="n"/>
      <c r="M19" s="11" t="n"/>
      <c r="N19" s="5">
        <f>IF(AND(ISNUMBER(L19),ISNUMBER(M19)),ROUND((M19-L19)*24,1),"")</f>
        <v/>
      </c>
      <c r="O19" s="5">
        <f>IF(N19="","",IF(N19&lt;=0.25,"Rápido (≤15 min)",IF(N19&lt;=2,"Aceptable (≤2 h)","Lento (&gt;2 h)")))</f>
        <v/>
      </c>
      <c r="P19" s="5" t="inlineStr">
        <is>
          <t>Pendiente</t>
        </is>
      </c>
      <c r="Q19" s="7" t="inlineStr"/>
      <c r="R19" s="5" t="inlineStr">
        <is>
          <t>Encontrado vía Instagram</t>
        </is>
      </c>
      <c r="S19" t="inlineStr">
        <is>
          <t>A</t>
        </is>
      </c>
    </row>
    <row r="20">
      <c r="A20" s="5" t="n">
        <v>18</v>
      </c>
      <c r="B20" s="5" t="inlineStr">
        <is>
          <t>Kaicen Formación</t>
        </is>
      </c>
      <c r="C20" s="5" t="inlineStr">
        <is>
          <t>Academia repaso</t>
        </is>
      </c>
      <c r="D20" s="5" t="inlineStr">
        <is>
          <t>Barcelona</t>
        </is>
      </c>
      <c r="E20" s="5" t="inlineStr"/>
      <c r="F20" s="5" t="inlineStr">
        <is>
          <t>(buscar en Instagram)</t>
        </is>
      </c>
      <c r="G20" s="5" t="inlineStr"/>
      <c r="H20" s="5" t="inlineStr"/>
      <c r="I20" s="5" t="inlineStr"/>
      <c r="J20" s="5" t="inlineStr">
        <is>
          <t>Media</t>
        </is>
      </c>
      <c r="K20" s="5" t="inlineStr">
        <is>
          <t>Buscar contacto</t>
        </is>
      </c>
      <c r="L20" s="11" t="n"/>
      <c r="M20" s="11" t="n"/>
      <c r="N20" s="5">
        <f>IF(AND(ISNUMBER(L20),ISNUMBER(M20)),ROUND((M20-L20)*24,1),"")</f>
        <v/>
      </c>
      <c r="O20" s="5">
        <f>IF(N20="","",IF(N20&lt;=0.25,"Rápido (≤15 min)",IF(N20&lt;=2,"Aceptable (≤2 h)","Lento (&gt;2 h)")))</f>
        <v/>
      </c>
      <c r="P20" s="5" t="inlineStr">
        <is>
          <t>Pendiente</t>
        </is>
      </c>
      <c r="Q20" s="7" t="inlineStr"/>
      <c r="R20" s="5" t="inlineStr">
        <is>
          <t>Encontrado vía Instagram</t>
        </is>
      </c>
      <c r="S20" t="inlineStr">
        <is>
          <t>B</t>
        </is>
      </c>
    </row>
    <row r="21">
      <c r="A21" s="5" t="n">
        <v>19</v>
      </c>
      <c r="B21" s="5" t="inlineStr">
        <is>
          <t>HOW Barcelona</t>
        </is>
      </c>
      <c r="C21" s="5" t="inlineStr">
        <is>
          <t>Gimnasio / cross training</t>
        </is>
      </c>
      <c r="D21" s="5" t="inlineStr">
        <is>
          <t>Poblenou</t>
        </is>
      </c>
      <c r="E21" s="5" t="inlineStr">
        <is>
          <t>howbarcelona.com</t>
        </is>
      </c>
      <c r="F21" s="5" t="inlineStr">
        <is>
          <t>@how.barcelona</t>
        </is>
      </c>
      <c r="G21" s="5" t="inlineStr">
        <is>
          <t>633 59 95 18</t>
        </is>
      </c>
      <c r="H21" s="5" t="inlineStr"/>
      <c r="I21" s="5" t="inlineStr"/>
      <c r="J21" s="5" t="inlineStr">
        <is>
          <t>Alta</t>
        </is>
      </c>
      <c r="K21" s="5" t="inlineStr">
        <is>
          <t>Instagram DM</t>
        </is>
      </c>
      <c r="L21" s="11" t="n"/>
      <c r="M21" s="11" t="n"/>
      <c r="N21" s="5">
        <f>IF(AND(ISNUMBER(L21),ISNUMBER(M21)),ROUND((M21-L21)*24,1),"")</f>
        <v/>
      </c>
      <c r="O21" s="5">
        <f>IF(N21="","",IF(N21&lt;=0.25,"Rápido (≤15 min)",IF(N21&lt;=2,"Aceptable (≤2 h)","Lento (&gt;2 h)")))</f>
        <v/>
      </c>
      <c r="P21" s="5" t="inlineStr">
        <is>
          <t>Pendiente</t>
        </is>
      </c>
      <c r="Q21" s="7" t="inlineStr"/>
      <c r="R21" s="5" t="inlineStr">
        <is>
          <t>Primera clase gratis</t>
        </is>
      </c>
      <c r="S21" t="inlineStr">
        <is>
          <t>A</t>
        </is>
      </c>
    </row>
    <row r="22">
      <c r="A22" s="5" t="n">
        <v>20</v>
      </c>
      <c r="B22" s="5" t="inlineStr">
        <is>
          <t>Distrito 080</t>
        </is>
      </c>
      <c r="C22" s="5" t="inlineStr">
        <is>
          <t>Gimnasio boutique</t>
        </is>
      </c>
      <c r="D22" s="5" t="inlineStr">
        <is>
          <t>Barcelona</t>
        </is>
      </c>
      <c r="E22" s="5" t="inlineStr">
        <is>
          <t>distrito080barcelona.com</t>
        </is>
      </c>
      <c r="F22" s="5" t="inlineStr">
        <is>
          <t>@distrito080barcelona</t>
        </is>
      </c>
      <c r="G22" s="5" t="inlineStr"/>
      <c r="H22" s="5" t="inlineStr">
        <is>
          <t>662 24 06 57</t>
        </is>
      </c>
      <c r="I22" s="5" t="inlineStr">
        <is>
          <t>info@distrito080barcelona.com</t>
        </is>
      </c>
      <c r="J22" s="5" t="inlineStr">
        <is>
          <t>Alta</t>
        </is>
      </c>
      <c r="K22" s="5" t="inlineStr">
        <is>
          <t>Instagram DM</t>
        </is>
      </c>
      <c r="L22" s="11" t="n"/>
      <c r="M22" s="11" t="n"/>
      <c r="N22" s="5">
        <f>IF(AND(ISNUMBER(L22),ISNUMBER(M22)),ROUND((M22-L22)*24,1),"")</f>
        <v/>
      </c>
      <c r="O22" s="5">
        <f>IF(N22="","",IF(N22&lt;=0.25,"Rápido (≤15 min)",IF(N22&lt;=2,"Aceptable (≤2 h)","Lento (&gt;2 h)")))</f>
        <v/>
      </c>
      <c r="P22" s="5" t="inlineStr">
        <is>
          <t>Pendiente</t>
        </is>
      </c>
      <c r="Q22" s="7" t="inlineStr"/>
      <c r="R22" s="5" t="inlineStr">
        <is>
          <t>Clase de prueba gratis</t>
        </is>
      </c>
      <c r="S22" t="inlineStr">
        <is>
          <t>B</t>
        </is>
      </c>
    </row>
    <row r="23">
      <c r="A23" s="5" t="n">
        <v>21</v>
      </c>
      <c r="B23" s="5" t="inlineStr">
        <is>
          <t>Let's Rise</t>
        </is>
      </c>
      <c r="C23" s="5" t="inlineStr">
        <is>
          <t>Gimnasio boutique</t>
        </is>
      </c>
      <c r="D23" s="5" t="inlineStr">
        <is>
          <t>Balmes</t>
        </is>
      </c>
      <c r="E23" s="5" t="inlineStr">
        <is>
          <t>letsrise.es</t>
        </is>
      </c>
      <c r="F23" s="5" t="inlineStr">
        <is>
          <t>@letsrisebarcelona</t>
        </is>
      </c>
      <c r="G23" s="5" t="inlineStr"/>
      <c r="H23" s="5" t="inlineStr">
        <is>
          <t>608 40 36 66</t>
        </is>
      </c>
      <c r="I23" s="5" t="inlineStr">
        <is>
          <t>info@letsrise.es</t>
        </is>
      </c>
      <c r="J23" s="5" t="inlineStr">
        <is>
          <t>Alta</t>
        </is>
      </c>
      <c r="K23" s="5" t="inlineStr">
        <is>
          <t>Instagram DM</t>
        </is>
      </c>
      <c r="L23" s="11" t="n"/>
      <c r="M23" s="11" t="n"/>
      <c r="N23" s="5">
        <f>IF(AND(ISNUMBER(L23),ISNUMBER(M23)),ROUND((M23-L23)*24,1),"")</f>
        <v/>
      </c>
      <c r="O23" s="5">
        <f>IF(N23="","",IF(N23&lt;=0.25,"Rápido (≤15 min)",IF(N23&lt;=2,"Aceptable (≤2 h)","Lento (&gt;2 h)")))</f>
        <v/>
      </c>
      <c r="P23" s="5" t="inlineStr">
        <is>
          <t>Pendiente</t>
        </is>
      </c>
      <c r="Q23" s="7" t="inlineStr"/>
      <c r="R23" s="5" t="inlineStr"/>
      <c r="S23" t="inlineStr">
        <is>
          <t>A</t>
        </is>
      </c>
    </row>
    <row r="24">
      <c r="A24" s="5" t="n">
        <v>22</v>
      </c>
      <c r="B24" s="5" t="inlineStr">
        <is>
          <t>One Life Training</t>
        </is>
      </c>
      <c r="C24" s="5" t="inlineStr">
        <is>
          <t>Gimnasio / entrenamiento</t>
        </is>
      </c>
      <c r="D24" s="5" t="inlineStr">
        <is>
          <t>Barcelona</t>
        </is>
      </c>
      <c r="E24" s="5" t="inlineStr">
        <is>
          <t>onelife.cat</t>
        </is>
      </c>
      <c r="F24" s="5" t="inlineStr">
        <is>
          <t>@one.life.training</t>
        </is>
      </c>
      <c r="G24" s="5" t="inlineStr"/>
      <c r="H24" s="5" t="inlineStr"/>
      <c r="I24" s="5" t="inlineStr"/>
      <c r="J24" s="5" t="inlineStr">
        <is>
          <t>Alta</t>
        </is>
      </c>
      <c r="K24" s="5" t="inlineStr">
        <is>
          <t>Instagram DM</t>
        </is>
      </c>
      <c r="L24" s="11" t="n"/>
      <c r="M24" s="11" t="n"/>
      <c r="N24" s="5">
        <f>IF(AND(ISNUMBER(L24),ISNUMBER(M24)),ROUND((M24-L24)*24,1),"")</f>
        <v/>
      </c>
      <c r="O24" s="5">
        <f>IF(N24="","",IF(N24&lt;=0.25,"Rápido (≤15 min)",IF(N24&lt;=2,"Aceptable (≤2 h)","Lento (&gt;2 h)")))</f>
        <v/>
      </c>
      <c r="P24" s="5" t="inlineStr">
        <is>
          <t>Pendiente</t>
        </is>
      </c>
      <c r="Q24" s="7" t="inlineStr"/>
      <c r="R24" s="5" t="inlineStr">
        <is>
          <t>Clases de prueba gratuitas</t>
        </is>
      </c>
      <c r="S24" t="inlineStr">
        <is>
          <t>B</t>
        </is>
      </c>
    </row>
    <row r="25">
      <c r="A25" s="5" t="n">
        <v>23</v>
      </c>
      <c r="B25" s="5" t="inlineStr">
        <is>
          <t>CrossFit Eixample</t>
        </is>
      </c>
      <c r="C25" s="5" t="inlineStr">
        <is>
          <t>Box CrossFit</t>
        </is>
      </c>
      <c r="D25" s="5" t="inlineStr">
        <is>
          <t>Eixample</t>
        </is>
      </c>
      <c r="E25" s="5" t="inlineStr">
        <is>
          <t>crossfiteixample.com</t>
        </is>
      </c>
      <c r="F25" s="5" t="inlineStr">
        <is>
          <t>@crossfiteixample</t>
        </is>
      </c>
      <c r="G25" s="5" t="inlineStr"/>
      <c r="H25" s="5" t="inlineStr"/>
      <c r="I25" s="5" t="inlineStr">
        <is>
          <t>info@crossfiteixample.com</t>
        </is>
      </c>
      <c r="J25" s="5" t="inlineStr">
        <is>
          <t>Alta</t>
        </is>
      </c>
      <c r="K25" s="5" t="inlineStr">
        <is>
          <t>Instagram DM</t>
        </is>
      </c>
      <c r="L25" s="11" t="n"/>
      <c r="M25" s="11" t="n"/>
      <c r="N25" s="5">
        <f>IF(AND(ISNUMBER(L25),ISNUMBER(M25)),ROUND((M25-L25)*24,1),"")</f>
        <v/>
      </c>
      <c r="O25" s="5">
        <f>IF(N25="","",IF(N25&lt;=0.25,"Rápido (≤15 min)",IF(N25&lt;=2,"Aceptable (≤2 h)","Lento (&gt;2 h)")))</f>
        <v/>
      </c>
      <c r="P25" s="5" t="inlineStr">
        <is>
          <t>Pendiente</t>
        </is>
      </c>
      <c r="Q25" s="7" t="inlineStr"/>
      <c r="R25" s="5" t="inlineStr">
        <is>
          <t>Clase gratis</t>
        </is>
      </c>
      <c r="S25" t="inlineStr">
        <is>
          <t>A</t>
        </is>
      </c>
    </row>
    <row r="26">
      <c r="A26" s="5" t="n">
        <v>24</v>
      </c>
      <c r="B26" s="5" t="inlineStr">
        <is>
          <t>CrossFit Sant Gervasi</t>
        </is>
      </c>
      <c r="C26" s="5" t="inlineStr">
        <is>
          <t>Box CrossFit</t>
        </is>
      </c>
      <c r="D26" s="5" t="inlineStr">
        <is>
          <t>Sant Gervasi (Muntaner 565)</t>
        </is>
      </c>
      <c r="E26" s="5" t="inlineStr">
        <is>
          <t>crossfitsantgervasi.com</t>
        </is>
      </c>
      <c r="F26" s="5" t="inlineStr">
        <is>
          <t>@crossfitsantgervasi</t>
        </is>
      </c>
      <c r="G26" s="5" t="inlineStr">
        <is>
          <t>635 77 75 69</t>
        </is>
      </c>
      <c r="H26" s="5" t="inlineStr"/>
      <c r="I26" s="5" t="inlineStr">
        <is>
          <t>crossfitsantgervasi@gmail.com</t>
        </is>
      </c>
      <c r="J26" s="5" t="inlineStr">
        <is>
          <t>Alta</t>
        </is>
      </c>
      <c r="K26" s="5" t="inlineStr">
        <is>
          <t>Instagram DM</t>
        </is>
      </c>
      <c r="L26" s="11" t="n"/>
      <c r="M26" s="11" t="n"/>
      <c r="N26" s="5">
        <f>IF(AND(ISNUMBER(L26),ISNUMBER(M26)),ROUND((M26-L26)*24,1),"")</f>
        <v/>
      </c>
      <c r="O26" s="5">
        <f>IF(N26="","",IF(N26&lt;=0.25,"Rápido (≤15 min)",IF(N26&lt;=2,"Aceptable (≤2 h)","Lento (&gt;2 h)")))</f>
        <v/>
      </c>
      <c r="P26" s="5" t="inlineStr">
        <is>
          <t>Pendiente</t>
        </is>
      </c>
      <c r="Q26" s="7" t="inlineStr"/>
      <c r="R26" s="5" t="inlineStr"/>
      <c r="S26" t="inlineStr">
        <is>
          <t>B</t>
        </is>
      </c>
    </row>
    <row r="27">
      <c r="A27" s="5" t="n">
        <v>25</v>
      </c>
      <c r="B27" s="5" t="inlineStr">
        <is>
          <t>CrossFit Sants</t>
        </is>
      </c>
      <c r="C27" s="5" t="inlineStr">
        <is>
          <t>Box CrossFit</t>
        </is>
      </c>
      <c r="D27" s="5" t="inlineStr">
        <is>
          <t>Sants</t>
        </is>
      </c>
      <c r="E27" s="5" t="inlineStr">
        <is>
          <t>crossfitsants.com</t>
        </is>
      </c>
      <c r="F27" s="5" t="inlineStr">
        <is>
          <t>@crossfitsants</t>
        </is>
      </c>
      <c r="G27" s="5" t="inlineStr">
        <is>
          <t>607 76 95 17</t>
        </is>
      </c>
      <c r="H27" s="5" t="inlineStr"/>
      <c r="I27" s="5" t="inlineStr">
        <is>
          <t>Info@crossfitsants.com</t>
        </is>
      </c>
      <c r="J27" s="5" t="inlineStr">
        <is>
          <t>Alta</t>
        </is>
      </c>
      <c r="K27" s="5" t="inlineStr">
        <is>
          <t>Instagram DM</t>
        </is>
      </c>
      <c r="L27" s="11" t="n"/>
      <c r="M27" s="11" t="n"/>
      <c r="N27" s="5">
        <f>IF(AND(ISNUMBER(L27),ISNUMBER(M27)),ROUND((M27-L27)*24,1),"")</f>
        <v/>
      </c>
      <c r="O27" s="5">
        <f>IF(N27="","",IF(N27&lt;=0.25,"Rápido (≤15 min)",IF(N27&lt;=2,"Aceptable (≤2 h)","Lento (&gt;2 h)")))</f>
        <v/>
      </c>
      <c r="P27" s="5" t="inlineStr">
        <is>
          <t>Pendiente</t>
        </is>
      </c>
      <c r="Q27" s="7" t="inlineStr"/>
      <c r="R27" s="5" t="inlineStr"/>
      <c r="S27" t="inlineStr">
        <is>
          <t>A</t>
        </is>
      </c>
    </row>
    <row r="28">
      <c r="A28" s="5" t="n">
        <v>26</v>
      </c>
      <c r="B28" s="5" t="inlineStr">
        <is>
          <t>LCS Jungle</t>
        </is>
      </c>
      <c r="C28" s="5" t="inlineStr">
        <is>
          <t>Box CrossFit</t>
        </is>
      </c>
      <c r="D28" s="5" t="inlineStr">
        <is>
          <t>Les Corts</t>
        </is>
      </c>
      <c r="E28" s="5" t="inlineStr">
        <is>
          <t>lcsjungle.com</t>
        </is>
      </c>
      <c r="F28" s="5" t="inlineStr">
        <is>
          <t>@crossfitlcs</t>
        </is>
      </c>
      <c r="G28" s="5" t="inlineStr"/>
      <c r="H28" s="5" t="inlineStr"/>
      <c r="I28" s="5" t="inlineStr"/>
      <c r="J28" s="5" t="inlineStr">
        <is>
          <t>Alta</t>
        </is>
      </c>
      <c r="K28" s="5" t="inlineStr">
        <is>
          <t>Instagram DM</t>
        </is>
      </c>
      <c r="L28" s="11" t="n"/>
      <c r="M28" s="11" t="n"/>
      <c r="N28" s="5">
        <f>IF(AND(ISNUMBER(L28),ISNUMBER(M28)),ROUND((M28-L28)*24,1),"")</f>
        <v/>
      </c>
      <c r="O28" s="5">
        <f>IF(N28="","",IF(N28&lt;=0.25,"Rápido (≤15 min)",IF(N28&lt;=2,"Aceptable (≤2 h)","Lento (&gt;2 h)")))</f>
        <v/>
      </c>
      <c r="P28" s="5" t="inlineStr">
        <is>
          <t>Pendiente</t>
        </is>
      </c>
      <c r="Q28" s="7" t="inlineStr"/>
      <c r="R28" s="5" t="inlineStr"/>
      <c r="S28" t="inlineStr">
        <is>
          <t>B</t>
        </is>
      </c>
    </row>
    <row r="29">
      <c r="A29" s="5" t="n">
        <v>27</v>
      </c>
      <c r="B29" s="5" t="inlineStr">
        <is>
          <t>The Hall CrossFit</t>
        </is>
      </c>
      <c r="C29" s="5" t="inlineStr">
        <is>
          <t>Box CrossFit</t>
        </is>
      </c>
      <c r="D29" s="5" t="inlineStr">
        <is>
          <t>Eixample</t>
        </is>
      </c>
      <c r="E29" s="5" t="inlineStr">
        <is>
          <t>thehallcrossfit.es</t>
        </is>
      </c>
      <c r="F29" s="5" t="inlineStr">
        <is>
          <t>@thehallcrossfit</t>
        </is>
      </c>
      <c r="G29" s="5" t="inlineStr"/>
      <c r="H29" s="5" t="inlineStr"/>
      <c r="I29" s="5" t="inlineStr"/>
      <c r="J29" s="5" t="inlineStr">
        <is>
          <t>Media</t>
        </is>
      </c>
      <c r="K29" s="5" t="inlineStr">
        <is>
          <t>Instagram DM</t>
        </is>
      </c>
      <c r="L29" s="11" t="n"/>
      <c r="M29" s="11" t="n"/>
      <c r="N29" s="5">
        <f>IF(AND(ISNUMBER(L29),ISNUMBER(M29)),ROUND((M29-L29)*24,1),"")</f>
        <v/>
      </c>
      <c r="O29" s="5">
        <f>IF(N29="","",IF(N29&lt;=0.25,"Rápido (≤15 min)",IF(N29&lt;=2,"Aceptable (≤2 h)","Lento (&gt;2 h)")))</f>
        <v/>
      </c>
      <c r="P29" s="5" t="inlineStr">
        <is>
          <t>Pendiente</t>
        </is>
      </c>
      <c r="Q29" s="7" t="inlineStr"/>
      <c r="R29" s="5" t="inlineStr">
        <is>
          <t>Ya usa un CRM (GoHighLevel)</t>
        </is>
      </c>
      <c r="S29" t="inlineStr">
        <is>
          <t>A</t>
        </is>
      </c>
    </row>
    <row r="30">
      <c r="A30" s="5" t="n">
        <v>28</v>
      </c>
      <c r="B30" s="5" t="inlineStr">
        <is>
          <t>Fit Mastery Sphere</t>
        </is>
      </c>
      <c r="C30" s="5" t="inlineStr">
        <is>
          <t>Entrenamiento personal</t>
        </is>
      </c>
      <c r="D30" s="5" t="inlineStr">
        <is>
          <t>Sant Andreu</t>
        </is>
      </c>
      <c r="E30" s="5" t="inlineStr">
        <is>
          <t>fitmastery.es</t>
        </is>
      </c>
      <c r="F30" s="5" t="inlineStr">
        <is>
          <t>@fitmastery_</t>
        </is>
      </c>
      <c r="G30" s="5" t="inlineStr">
        <is>
          <t>687 30 11 00</t>
        </is>
      </c>
      <c r="H30" s="5" t="inlineStr"/>
      <c r="I30" s="5" t="inlineStr"/>
      <c r="J30" s="5" t="inlineStr">
        <is>
          <t>Alta</t>
        </is>
      </c>
      <c r="K30" s="5" t="inlineStr">
        <is>
          <t>Instagram DM</t>
        </is>
      </c>
      <c r="L30" s="11" t="n"/>
      <c r="M30" s="11" t="n"/>
      <c r="N30" s="5">
        <f>IF(AND(ISNUMBER(L30),ISNUMBER(M30)),ROUND((M30-L30)*24,1),"")</f>
        <v/>
      </c>
      <c r="O30" s="5">
        <f>IF(N30="","",IF(N30&lt;=0.25,"Rápido (≤15 min)",IF(N30&lt;=2,"Aceptable (≤2 h)","Lento (&gt;2 h)")))</f>
        <v/>
      </c>
      <c r="P30" s="5" t="inlineStr">
        <is>
          <t>Pendiente</t>
        </is>
      </c>
      <c r="Q30" s="7" t="inlineStr"/>
      <c r="R30" s="5" t="inlineStr">
        <is>
          <t>Reservas por WhatsApp</t>
        </is>
      </c>
      <c r="S30" t="inlineStr">
        <is>
          <t>B</t>
        </is>
      </c>
    </row>
    <row r="31">
      <c r="A31" s="5" t="n">
        <v>29</v>
      </c>
      <c r="B31" s="5" t="inlineStr">
        <is>
          <t>Pilates al Mar</t>
        </is>
      </c>
      <c r="C31" s="5" t="inlineStr">
        <is>
          <t>Estudio pilates</t>
        </is>
      </c>
      <c r="D31" s="5" t="inlineStr">
        <is>
          <t>Poblenou / Clot / Nou Barris</t>
        </is>
      </c>
      <c r="E31" s="5" t="inlineStr">
        <is>
          <t>pilatesalmar.com</t>
        </is>
      </c>
      <c r="F31" s="5" t="inlineStr">
        <is>
          <t>@pilatesalmar</t>
        </is>
      </c>
      <c r="G31" s="5" t="inlineStr">
        <is>
          <t>605 54 56 26</t>
        </is>
      </c>
      <c r="H31" s="5" t="inlineStr"/>
      <c r="I31" s="5" t="inlineStr">
        <is>
          <t>info@pilatesalmar.com</t>
        </is>
      </c>
      <c r="J31" s="5" t="inlineStr">
        <is>
          <t>Alta</t>
        </is>
      </c>
      <c r="K31" s="5" t="inlineStr">
        <is>
          <t>Instagram DM</t>
        </is>
      </c>
      <c r="L31" s="11" t="n"/>
      <c r="M31" s="11" t="n"/>
      <c r="N31" s="5">
        <f>IF(AND(ISNUMBER(L31),ISNUMBER(M31)),ROUND((M31-L31)*24,1),"")</f>
        <v/>
      </c>
      <c r="O31" s="5">
        <f>IF(N31="","",IF(N31&lt;=0.25,"Rápido (≤15 min)",IF(N31&lt;=2,"Aceptable (≤2 h)","Lento (&gt;2 h)")))</f>
        <v/>
      </c>
      <c r="P31" s="5" t="inlineStr">
        <is>
          <t>Pendiente</t>
        </is>
      </c>
      <c r="Q31" s="7" t="inlineStr"/>
      <c r="R31" s="5" t="inlineStr">
        <is>
          <t>Reservas por WhatsApp; 3 estudios</t>
        </is>
      </c>
      <c r="S31" t="inlineStr">
        <is>
          <t>A</t>
        </is>
      </c>
    </row>
    <row r="32">
      <c r="A32" s="5" t="n">
        <v>30</v>
      </c>
      <c r="B32" s="5" t="inlineStr">
        <is>
          <t>Inhala Exhala Studio</t>
        </is>
      </c>
      <c r="C32" s="5" t="inlineStr">
        <is>
          <t>Estudio pilates</t>
        </is>
      </c>
      <c r="D32" s="5" t="inlineStr">
        <is>
          <t>Poblenou</t>
        </is>
      </c>
      <c r="E32" s="5" t="inlineStr">
        <is>
          <t>inhalaexhala.studio</t>
        </is>
      </c>
      <c r="F32" s="5" t="inlineStr">
        <is>
          <t>@inhalaexhala.studio</t>
        </is>
      </c>
      <c r="G32" s="5" t="inlineStr"/>
      <c r="H32" s="5" t="inlineStr"/>
      <c r="I32" s="5" t="inlineStr"/>
      <c r="J32" s="5" t="inlineStr">
        <is>
          <t>Media</t>
        </is>
      </c>
      <c r="K32" s="5" t="inlineStr">
        <is>
          <t>Instagram DM</t>
        </is>
      </c>
      <c r="L32" s="11" t="n"/>
      <c r="M32" s="11" t="n"/>
      <c r="N32" s="5">
        <f>IF(AND(ISNUMBER(L32),ISNUMBER(M32)),ROUND((M32-L32)*24,1),"")</f>
        <v/>
      </c>
      <c r="O32" s="5">
        <f>IF(N32="","",IF(N32&lt;=0.25,"Rápido (≤15 min)",IF(N32&lt;=2,"Aceptable (≤2 h)","Lento (&gt;2 h)")))</f>
        <v/>
      </c>
      <c r="P32" s="5" t="inlineStr">
        <is>
          <t>Pendiente</t>
        </is>
      </c>
      <c r="Q32" s="7" t="inlineStr"/>
      <c r="R32" s="5" t="inlineStr"/>
      <c r="S32" t="inlineStr">
        <is>
          <t>B</t>
        </is>
      </c>
    </row>
  </sheetData>
  <autoFilter ref="A1:R32"/>
  <dataValidations count="4">
    <dataValidation sqref="P2:P200" showDropDown="0" showInputMessage="0" showErrorMessage="0" allowBlank="1" type="list">
      <formula1>"Pendiente,Prueba hecha,Contactado,Respondió,Demo hecha,Propuesta,Cliente,No interesado"</formula1>
    </dataValidation>
    <dataValidation sqref="J2:J32" showDropDown="0" showInputMessage="0" showErrorMessage="0" allowBlank="0" type="list">
      <formula1>"Alta,Media,Baja"</formula1>
    </dataValidation>
    <dataValidation sqref="S2:S200" showDropDown="0" showInputMessage="0" showErrorMessage="0" allowBlank="1" type="list">
      <formula1>"A,B"</formula1>
    </dataValidation>
    <dataValidation sqref="T2:T200" showDropDown="0" showInputMessage="0" showErrorMessage="0" allowBlank="1" type="list">
      <formula1>"No responde,No ve el problema,Precio,Tiempo/montaje,Confianza (sois nuevos),Otro"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Cómo usar esta hoja</t>
        </is>
      </c>
    </row>
    <row r="2">
      <c r="A2" s="9" t="inlineStr">
        <is>
          <t>1. Las celdas en naranja claro (columnas L, M, Q) son las que rellenas tú.</t>
        </is>
      </c>
    </row>
    <row r="3">
      <c r="A3" s="9" t="inlineStr">
        <is>
          <t>2. 'Tiempo de respuesta' y 'Resultado' se calculan solos.</t>
        </is>
      </c>
    </row>
    <row r="4">
      <c r="A4" s="9" t="inlineStr">
        <is>
          <t>3. 'Estado del contacto' tiene un desplegable: Pendiente → Prueba hecha → Contactado → Respondió → Llamada agendada → Cliente.</t>
        </is>
      </c>
    </row>
    <row r="5">
      <c r="A5" s="9" t="inlineStr">
        <is>
          <t>4. La fila 2 es un EJEMPLO: bórrala cuando empieces.</t>
        </is>
      </c>
    </row>
    <row r="6">
      <c r="A6" s="9" t="inlineStr"/>
    </row>
    <row r="7">
      <c r="A7" s="8" t="inlineStr">
        <is>
          <t>Fuentes</t>
        </is>
      </c>
    </row>
    <row r="8">
      <c r="A8" s="9" t="inlineStr">
        <is>
          <t>Datos de contacto sacados de la web pública de cada centro (13/10/2026) y de guia.barcelona.cat. Los marcados 'verificar' o 'buscar' requieren comprobación.</t>
        </is>
      </c>
    </row>
    <row r="9">
      <c r="A9" s="9" t="inlineStr">
        <is>
          <t>Prioridad: Alta = centro pequeño/independiente que gestiona su propio WhatsApp; Baja = cadena o franquicia (decisión lenta).</t>
        </is>
      </c>
    </row>
    <row r="10">
      <c r="A10" s="9" t="inlineStr"/>
    </row>
    <row r="11">
      <c r="A11" s="8" t="inlineStr">
        <is>
          <t>Aviso legal</t>
        </is>
      </c>
    </row>
    <row r="12">
      <c r="A12" s="9" t="inlineStr">
        <is>
          <t>Contacto uno a uno y personalizado. No envíes mensajes comerciales masivos por email o WhatsApp sin consentimiento (LSSI). Si alguien dice que no, márcalo 'No interesado' y no insistas.</t>
        </is>
      </c>
    </row>
    <row r="14">
      <c r="A14" t="inlineStr">
        <is>
          <t>Experimento (campaña boxes, ver marketing/campana-boxes/INFORME.md §8)</t>
        </is>
      </c>
    </row>
    <row r="15">
      <c r="A15" t="inlineStr">
        <is>
          <t>Columna S: variante de oferta. Impares = A (precios web 590 € + 89 €/mes), pares = B (piloto 149 € con garantía).</t>
        </is>
      </c>
    </row>
    <row r="16">
      <c r="A16" t="inlineStr">
        <is>
          <t>Columna T: motivo de pérdida, una sola opción. Rellenarla siempre que un centro se caiga del embudo.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2026-10-13T11:14:40Z</dcterms:created>
  <dcterms:modified xmlns:dcterms="http://purl.org/dc/terms/" xmlns:xsi="http://www.w3.org/2001/XMLSchema-instance" xsi:type="dcterms:W3CDTF">2026-10-17T14:31:52Z</dcterms:modified>
</cp:coreProperties>
</file>