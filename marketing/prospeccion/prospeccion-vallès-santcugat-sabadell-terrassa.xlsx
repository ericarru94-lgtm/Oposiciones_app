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s" sheetId="1" state="visible" r:id="rId1"/>
    <sheet name="Leyenda" sheetId="2" state="visible" r:id="rId2"/>
  </sheets>
  <definedNames>
    <definedName name="_xlnm._FilterDatabase" localSheetId="0" hidden="1">'Centros'!$A$1:$T$37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0151F"/>
      </patternFill>
    </fill>
    <fill>
      <patternFill patternType="solid">
        <fgColor rgb="00FFF1EC"/>
      </patternFill>
    </fill>
  </fills>
  <borders count="2">
    <border>
      <left/>
      <right/>
      <top/>
      <bottom/>
      <diagonal/>
    </border>
    <border>
      <bottom style="thin">
        <color rgb="00DADF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26" customWidth="1" min="6" max="6"/>
    <col width="26" customWidth="1" min="7" max="7"/>
    <col width="16" customWidth="1" min="8" max="8"/>
    <col width="22" customWidth="1" min="9" max="9"/>
    <col width="28" customWidth="1" min="10" max="10"/>
    <col width="20" customWidth="1" min="11" max="11"/>
    <col width="10" customWidth="1" min="12" max="12"/>
    <col width="16" customWidth="1" min="13" max="13"/>
    <col width="20" customWidth="1" min="14" max="14"/>
    <col width="20" customWidth="1" min="15" max="15"/>
    <col width="12" customWidth="1" min="16" max="16"/>
    <col width="18" customWidth="1" min="17" max="17"/>
    <col width="18" customWidth="1" min="18" max="18"/>
    <col width="24" customWidth="1" min="19" max="19"/>
    <col width="60" customWidth="1" min="20" max="20"/>
  </cols>
  <sheetData>
    <row r="1" ht="42" customHeight="1">
      <c r="A1" s="1" t="inlineStr">
        <is>
          <t>#</t>
        </is>
      </c>
      <c r="B1" s="1" t="inlineStr">
        <is>
          <t>Centro</t>
        </is>
      </c>
      <c r="C1" s="1" t="inlineStr">
        <is>
          <t>Tipo</t>
        </is>
      </c>
      <c r="D1" s="1" t="inlineStr">
        <is>
          <t>Ciudad</t>
        </is>
      </c>
      <c r="E1" s="1" t="inlineStr">
        <is>
          <t>Zona</t>
        </is>
      </c>
      <c r="F1" s="1" t="inlineStr">
        <is>
          <t>Web</t>
        </is>
      </c>
      <c r="G1" s="1" t="inlineStr">
        <is>
          <t>Instagram</t>
        </is>
      </c>
      <c r="H1" s="1" t="inlineStr">
        <is>
          <t>WhatsApp</t>
        </is>
      </c>
      <c r="I1" s="1" t="inlineStr">
        <is>
          <t>Teléfono</t>
        </is>
      </c>
      <c r="J1" s="1" t="inlineStr">
        <is>
          <t>Email</t>
        </is>
      </c>
      <c r="K1" s="1" t="inlineStr">
        <is>
          <t>Chat en la web</t>
        </is>
      </c>
      <c r="L1" s="1" t="inlineStr">
        <is>
          <t>Prioridad</t>
        </is>
      </c>
      <c r="M1" s="1" t="inlineStr">
        <is>
          <t>Canal recomendado</t>
        </is>
      </c>
      <c r="N1" s="1" t="inlineStr">
        <is>
          <t>Mensaje de prueba enviado (fecha y hora)</t>
        </is>
      </c>
      <c r="O1" s="1" t="inlineStr">
        <is>
          <t>Primera respuesta (fecha y hora)</t>
        </is>
      </c>
      <c r="P1" s="1" t="inlineStr">
        <is>
          <t>Tiempo de respuesta (horas)</t>
        </is>
      </c>
      <c r="Q1" s="1" t="inlineStr">
        <is>
          <t>Resultado de la prueba</t>
        </is>
      </c>
      <c r="R1" s="1" t="inlineStr">
        <is>
          <t>Estado del contacto</t>
        </is>
      </c>
      <c r="S1" s="1" t="inlineStr">
        <is>
          <t>Próximo paso / fecha</t>
        </is>
      </c>
      <c r="T1" s="1" t="inlineStr">
        <is>
          <t>Notas</t>
        </is>
      </c>
    </row>
    <row r="2">
      <c r="A2" s="2" t="n">
        <v>1</v>
      </c>
      <c r="B2" s="2" t="inlineStr">
        <is>
          <t>Autoescola En Marxa</t>
        </is>
      </c>
      <c r="C2" s="2" t="inlineStr">
        <is>
          <t>Autoescuela</t>
        </is>
      </c>
      <c r="D2" s="2" t="inlineStr">
        <is>
          <t>Sant Cugat</t>
        </is>
      </c>
      <c r="E2" s="2" t="inlineStr">
        <is>
          <t>Carrer del Rosselló, 21 (centro)</t>
        </is>
      </c>
      <c r="F2" s="2" t="inlineStr">
        <is>
          <t>autoescolaenmarxa.cat</t>
        </is>
      </c>
      <c r="G2" s="2" t="inlineStr">
        <is>
          <t>@autoescolaenmarxa</t>
        </is>
      </c>
      <c r="H2" s="2" t="inlineStr">
        <is>
          <t>622 177 392 / 655 324 286</t>
        </is>
      </c>
      <c r="I2" s="2" t="inlineStr">
        <is>
          <t>622 177 392</t>
        </is>
      </c>
      <c r="J2" s="2" t="inlineStr"/>
      <c r="K2" s="2" t="inlineStr">
        <is>
          <t>Solo botón WhatsApp</t>
        </is>
      </c>
      <c r="L2" s="2" t="inlineStr">
        <is>
          <t>Alta</t>
        </is>
      </c>
      <c r="M2" s="2" t="inlineStr">
        <is>
          <t>Instagram DM</t>
        </is>
      </c>
      <c r="N2" s="3" t="n"/>
      <c r="O2" s="3" t="n"/>
      <c r="P2" s="2">
        <f>IF(AND(ISNUMBER(N2),ISNUMBER(O2)),ROUND((O2-N2)*24,1),"")</f>
        <v/>
      </c>
      <c r="Q2" s="2">
        <f>IF(P2="","",IF(P2&lt;=0.25,"Rápido (≤15 min)",IF(P2&lt;=2,"Aceptable (≤2 h)","Lento (&gt;2 h)")))</f>
        <v/>
      </c>
      <c r="R2" s="2" t="inlineStr">
        <is>
          <t>Pendiente</t>
        </is>
      </c>
      <c r="S2" s="4" t="n"/>
      <c r="T2" s="2" t="inlineStr">
        <is>
          <t>Independiente, en Sant Cugat desde 1992 («la autoescuela en activo más veterana»). Google 4,8 (180 reseñas, según su web). Tiene matrícula y pago online, formulario «¿Te llamamos?». Viernes solo por la mañana (según el directorio).  [Chat: Botón flotante del plugin Joinchat (div.joinchat, tel. 34655324286) y enlaces wa.me/api.whatsapp.com. No se ha encontrado ningún widget de bot ni de chat en vivo. Nota: la herramienta quita los &lt;script&gt;, así que la comprobación se basa en el DOM y en los enlaces.]</t>
        </is>
      </c>
    </row>
    <row r="3">
      <c r="A3" s="2" t="n">
        <v>2</v>
      </c>
      <c r="B3" s="2" t="inlineStr">
        <is>
          <t>Autoescola Rally (sede Sant Cugat)</t>
        </is>
      </c>
      <c r="C3" s="2" t="inlineStr">
        <is>
          <t>Autoescuela</t>
        </is>
      </c>
      <c r="D3" s="2" t="inlineStr">
        <is>
          <t>Sant Cugat</t>
        </is>
      </c>
      <c r="E3" s="2" t="inlineStr">
        <is>
          <t>Carrer de Sant Antoni, 52 (centro)</t>
        </is>
      </c>
      <c r="F3" s="2" t="inlineStr">
        <is>
          <t>rallyautoescuela.com</t>
        </is>
      </c>
      <c r="G3" s="2" t="inlineStr">
        <is>
          <t>@autoescola_rally</t>
        </is>
      </c>
      <c r="H3" s="2" t="inlineStr"/>
      <c r="I3" s="2" t="inlineStr">
        <is>
          <t>687 770 860</t>
        </is>
      </c>
      <c r="J3" s="2" t="inlineStr">
        <is>
          <t>autoescuelarally1@gmail.com</t>
        </is>
      </c>
      <c r="K3" s="2" t="inlineStr">
        <is>
          <t>Sin chat</t>
        </is>
      </c>
      <c r="L3" s="2" t="inlineStr">
        <is>
          <t>Alta</t>
        </is>
      </c>
      <c r="M3" s="2" t="inlineStr">
        <is>
          <t>Instagram DM</t>
        </is>
      </c>
      <c r="N3" s="3" t="n"/>
      <c r="O3" s="3" t="n"/>
      <c r="P3" s="2">
        <f>IF(AND(ISNUMBER(N3),ISNUMBER(O3)),ROUND((O3-N3)*24,1),"")</f>
        <v/>
      </c>
      <c r="Q3" s="2">
        <f>IF(P3="","",IF(P3&lt;=0.25,"Rápido (≤15 min)",IF(P3&lt;=2,"Aceptable (≤2 h)","Lento (&gt;2 h)")))</f>
        <v/>
      </c>
      <c r="R3" s="2" t="inlineStr">
        <is>
          <t>Pendiente</t>
        </is>
      </c>
      <c r="S3" s="4" t="n"/>
      <c r="T3" s="2" t="inlineStr">
        <is>
          <t>2 sedes (Rubí y Sant Cugat), pequeña. 5,0 con 107 opiniones en el directorio autoescuelastop. Atiende L–J 10–13 y 17–20 h, V hasta 19 h: fuera de ese horario no contesta nadie. Promete devolver el dinero si no apruebas la teórica a la primera.  [Chat: No hay ningún elemento de chat ni de WhatsApp, ni enlaces wa.me. Solo teléfono y email. Web de plantilla Tuautoescuela.net (Gálibo).]</t>
        </is>
      </c>
    </row>
    <row r="4">
      <c r="A4" s="2" t="n">
        <v>3</v>
      </c>
      <c r="B4" s="2" t="inlineStr">
        <is>
          <t>Autoescola Base (Escola de Conducció)</t>
        </is>
      </c>
      <c r="C4" s="2" t="inlineStr">
        <is>
          <t>Autoescuela</t>
        </is>
      </c>
      <c r="D4" s="2" t="inlineStr">
        <is>
          <t>Sant Cugat</t>
        </is>
      </c>
      <c r="E4" s="2" t="inlineStr">
        <is>
          <t>C/ Josefina Mascareñas, 13 (Coll Favà)</t>
        </is>
      </c>
      <c r="F4" s="2" t="inlineStr">
        <is>
          <t>conduccio.com</t>
        </is>
      </c>
      <c r="G4" s="2" t="inlineStr"/>
      <c r="H4" s="2" t="inlineStr">
        <is>
          <t>667 93 99 40</t>
        </is>
      </c>
      <c r="I4" s="2" t="inlineStr">
        <is>
          <t>667 93 99 40</t>
        </is>
      </c>
      <c r="J4" s="2" t="inlineStr"/>
      <c r="K4" s="2" t="inlineStr">
        <is>
          <t>Solo botón WhatsApp</t>
        </is>
      </c>
      <c r="L4" s="2" t="inlineStr">
        <is>
          <t>Alta</t>
        </is>
      </c>
      <c r="M4" s="2" t="inlineStr">
        <is>
          <t>WhatsApp (como cliente) + llamada</t>
        </is>
      </c>
      <c r="N4" s="3" t="n"/>
      <c r="O4" s="3" t="n"/>
      <c r="P4" s="2">
        <f>IF(AND(ISNUMBER(N4),ISNUMBER(O4)),ROUND((O4-N4)*24,1),"")</f>
        <v/>
      </c>
      <c r="Q4" s="2">
        <f>IF(P4="","",IF(P4&lt;=0.25,"Rápido (≤15 min)",IF(P4&lt;=2,"Aceptable (≤2 h)","Lento (&gt;2 h)")))</f>
        <v/>
      </c>
      <c r="R4" s="2" t="inlineStr">
        <is>
          <t>Pendiente</t>
        </is>
      </c>
      <c r="S4" s="4" t="n"/>
      <c r="T4" s="2" t="inlineStr">
        <is>
          <t>Muy pequeña: equipo de 3 (Rafa, Belén y Clàudia). 5,0 con 35 opiniones en el directorio. Prácticas de 7:00 a 22:00, el horario flexible es su argumento de venta. WordPress antiguo (5.9).  [Chat: Un enlace wa.me/34667939940 en la lista de contacto. No hay botón flotante ni widget de chat.]</t>
        </is>
      </c>
    </row>
    <row r="5">
      <c r="A5" s="2" t="n">
        <v>4</v>
      </c>
      <c r="B5" s="2" t="inlineStr">
        <is>
          <t>Autoescola DAS Sant Cugat</t>
        </is>
      </c>
      <c r="C5" s="2" t="inlineStr">
        <is>
          <t>Autoescuela</t>
        </is>
      </c>
      <c r="D5" s="2" t="inlineStr">
        <is>
          <t>Sant Cugat</t>
        </is>
      </c>
      <c r="E5" s="2" t="inlineStr">
        <is>
          <t>Av. de Cerdanyola, 36 (centro)</t>
        </is>
      </c>
      <c r="F5" s="2" t="inlineStr">
        <is>
          <t>dasformacio.com</t>
        </is>
      </c>
      <c r="G5" s="2" t="inlineStr"/>
      <c r="H5" s="2" t="inlineStr"/>
      <c r="I5" s="2" t="inlineStr">
        <is>
          <t>930 253 146 / 640 586 423</t>
        </is>
      </c>
      <c r="J5" s="2" t="inlineStr">
        <is>
          <t>dassantcugat@dasformacio.com</t>
        </is>
      </c>
      <c r="K5" s="2" t="inlineStr">
        <is>
          <t>Sin chat</t>
        </is>
      </c>
      <c r="L5" s="2" t="inlineStr">
        <is>
          <t>Media</t>
        </is>
      </c>
      <c r="M5" s="2" t="inlineStr">
        <is>
          <t>Teléfono</t>
        </is>
      </c>
      <c r="N5" s="3" t="n"/>
      <c r="O5" s="3" t="n"/>
      <c r="P5" s="2">
        <f>IF(AND(ISNUMBER(N5),ISNUMBER(O5)),ROUND((O5-N5)*24,1),"")</f>
        <v/>
      </c>
      <c r="Q5" s="2">
        <f>IF(P5="","",IF(P5&lt;=0.25,"Rápido (≤15 min)",IF(P5&lt;=2,"Aceptable (≤2 h)","Lento (&gt;2 h)")))</f>
        <v/>
      </c>
      <c r="R5" s="2" t="inlineStr">
        <is>
          <t>Pendiente</t>
        </is>
      </c>
      <c r="S5" s="4" t="n"/>
      <c r="T5" s="2" t="inlineStr">
        <is>
          <t>Pequeña red local (Rubí y Sant Cugat; el directorio lista también «DAS Rubí 2»). 4,8 con 41 opiniones en el directorio. Además de carnets da cursos CAP, ADR y recuperación de puntos. Tiene app de alumnos (Autopractik).  [Chat: No hay ningún elemento de chat ni de WhatsApp, ni enlaces wa.me. Solo formulario de contacto, teléfonos y email.]</t>
        </is>
      </c>
    </row>
    <row r="6">
      <c r="A6" s="2" t="n">
        <v>5</v>
      </c>
      <c r="B6" s="2" t="inlineStr">
        <is>
          <t>Autoescoles Garcaz (Nou Garcaz)</t>
        </is>
      </c>
      <c r="C6" s="2" t="inlineStr">
        <is>
          <t>Autoescuela</t>
        </is>
      </c>
      <c r="D6" s="2" t="inlineStr">
        <is>
          <t>Sant Cugat</t>
        </is>
      </c>
      <c r="E6" s="2" t="inlineStr">
        <is>
          <t>C/ dels Pous, 6 / Av. Lluís Companys (centro)</t>
        </is>
      </c>
      <c r="F6" s="2" t="inlineStr">
        <is>
          <t>tuautoescuela.net/garcaz</t>
        </is>
      </c>
      <c r="G6" s="2" t="inlineStr">
        <is>
          <t>@nougarcaz</t>
        </is>
      </c>
      <c r="H6" s="2" t="inlineStr"/>
      <c r="I6" s="2" t="inlineStr">
        <is>
          <t>93 016 80 13</t>
        </is>
      </c>
      <c r="J6" s="2" t="inlineStr">
        <is>
          <t>garcaz07@hotmail.com</t>
        </is>
      </c>
      <c r="K6" s="2" t="inlineStr">
        <is>
          <t>Sin chat</t>
        </is>
      </c>
      <c r="L6" s="2" t="inlineStr">
        <is>
          <t>Media</t>
        </is>
      </c>
      <c r="M6" s="2" t="inlineStr">
        <is>
          <t>Instagram DM</t>
        </is>
      </c>
      <c r="N6" s="3" t="n"/>
      <c r="O6" s="3" t="n"/>
      <c r="P6" s="2">
        <f>IF(AND(ISNUMBER(N6),ISNUMBER(O6)),ROUND((O6-N6)*24,1),"")</f>
        <v/>
      </c>
      <c r="Q6" s="2">
        <f>IF(P6="","",IF(P6&lt;=0.25,"Rápido (≤15 min)",IF(P6&lt;=2,"Aceptable (≤2 h)","Lento (&gt;2 h)")))</f>
        <v/>
      </c>
      <c r="R6" s="2" t="inlineStr">
        <is>
          <t>Pendiente</t>
        </is>
      </c>
      <c r="S6" s="4" t="n"/>
      <c r="T6" s="2" t="inlineStr">
        <is>
          <t>Independiente. 4,3 con 89 opiniones en el directorio. Web muy básica, sin dominio propio y con un email de Hotmail: digitalización baja. La noticia de cierre que aparece en Google es de 2005; hoy figura activa en directorios (horario oficina 10–13 y 16–21 h). Conviene confirmar por teléfono.  [Chat: No hay ningún elemento de chat ni de WhatsApp, ni enlaces wa.me. Web de plantilla Tuautoescuela.net con los horarios vacíos.]</t>
        </is>
      </c>
    </row>
    <row r="7">
      <c r="A7" s="2" t="n">
        <v>6</v>
      </c>
      <c r="B7" s="2" t="inlineStr">
        <is>
          <t>Lynx Social Training Club (CrossFit Lynx)</t>
        </is>
      </c>
      <c r="C7" s="2" t="inlineStr">
        <is>
          <t>Box CrossFit</t>
        </is>
      </c>
      <c r="D7" s="2" t="inlineStr">
        <is>
          <t>Sant Cugat</t>
        </is>
      </c>
      <c r="E7" s="2" t="inlineStr">
        <is>
          <t>C/ Francesc Vila, 17</t>
        </is>
      </c>
      <c r="F7" s="2" t="inlineStr">
        <is>
          <t>lynxstc.com</t>
        </is>
      </c>
      <c r="G7" s="2" t="inlineStr">
        <is>
          <t>@crossfit_lynx</t>
        </is>
      </c>
      <c r="H7" s="2" t="inlineStr">
        <is>
          <t>620 290 205</t>
        </is>
      </c>
      <c r="I7" s="2" t="inlineStr">
        <is>
          <t>620 290 205</t>
        </is>
      </c>
      <c r="J7" s="2" t="inlineStr">
        <is>
          <t>info@crossfitlynx.com</t>
        </is>
      </c>
      <c r="K7" s="2" t="inlineStr">
        <is>
          <t>Solo botón WhatsApp</t>
        </is>
      </c>
      <c r="L7" s="2" t="inlineStr">
        <is>
          <t>Alta</t>
        </is>
      </c>
      <c r="M7" s="2" t="inlineStr">
        <is>
          <t>Instagram DM</t>
        </is>
      </c>
      <c r="N7" s="3" t="n"/>
      <c r="O7" s="3" t="n"/>
      <c r="P7" s="2">
        <f>IF(AND(ISNUMBER(N7),ISNUMBER(O7)),ROUND((O7-N7)*24,1),"")</f>
        <v/>
      </c>
      <c r="Q7" s="2">
        <f>IF(P7="","",IF(P7&lt;=0.25,"Rápido (≤15 min)",IF(P7&lt;=2,"Aceptable (≤2 h)","Lento (&gt;2 h)")))</f>
        <v/>
      </c>
      <c r="R7" s="2" t="inlineStr">
        <is>
          <t>Pendiente</t>
        </is>
      </c>
      <c r="S7" s="4" t="n"/>
      <c r="T7" s="2" t="inlineStr">
        <is>
          <t>Independiente, tiene también marcas hermanas (Lynx Fitness Studio, Lynx Martial Arts). Abre L–V 7–22 h, fines de semana mañanas. Ofrece «semana de prueba gratis» (muchos leads que atender). Tiene nutrición y fisio.  [Chat: Botón flotante img.whatsapp-button que enlaza a wa.me/+34620290205, más enlaces wa.me en el pie. No se ha encontrado widget de bot ni de chat.]</t>
        </is>
      </c>
    </row>
    <row r="8">
      <c r="A8" s="2" t="n">
        <v>7</v>
      </c>
      <c r="B8" s="2" t="inlineStr">
        <is>
          <t>Athlos Training Center</t>
        </is>
      </c>
      <c r="C8" s="2" t="inlineStr">
        <is>
          <t>Entrenamiento personal</t>
        </is>
      </c>
      <c r="D8" s="2" t="inlineStr">
        <is>
          <t>Sant Cugat</t>
        </is>
      </c>
      <c r="E8" s="2" t="inlineStr">
        <is>
          <t>Plaça del Doctor Pila, 2, local 4 (Mira-sol) + nueva sede en Volpelleres</t>
        </is>
      </c>
      <c r="F8" s="2" t="inlineStr">
        <is>
          <t>athlostc.com</t>
        </is>
      </c>
      <c r="G8" s="2" t="inlineStr">
        <is>
          <t>@athlostc</t>
        </is>
      </c>
      <c r="H8" s="2" t="inlineStr">
        <is>
          <t>618 415 571 (los botones usan wa.link)</t>
        </is>
      </c>
      <c r="I8" s="2" t="inlineStr">
        <is>
          <t>618 415 571</t>
        </is>
      </c>
      <c r="J8" s="2" t="inlineStr">
        <is>
          <t>info@athlostc.com</t>
        </is>
      </c>
      <c r="K8" s="2" t="inlineStr">
        <is>
          <t>Solo botón WhatsApp</t>
        </is>
      </c>
      <c r="L8" s="2" t="inlineStr">
        <is>
          <t>Alta</t>
        </is>
      </c>
      <c r="M8" s="2" t="inlineStr">
        <is>
          <t>Instagram DM</t>
        </is>
      </c>
      <c r="N8" s="3" t="n"/>
      <c r="O8" s="3" t="n"/>
      <c r="P8" s="2">
        <f>IF(AND(ISNUMBER(N8),ISNUMBER(O8)),ROUND((O8-N8)*24,1),"")</f>
        <v/>
      </c>
      <c r="Q8" s="2">
        <f>IF(P8="","",IF(P8&lt;=0.25,"Rápido (≤15 min)",IF(P8&lt;=2,"Aceptable (≤2 h)","Lento (&gt;2 h)")))</f>
        <v/>
      </c>
      <c r="R8" s="2" t="inlineStr">
        <is>
          <t>Pendiente</t>
        </is>
      </c>
      <c r="S8" s="4" t="n"/>
      <c r="T8" s="2" t="inlineStr">
        <is>
          <t>Entrenadores personales (hermanos Borges y equipo), formatos one-to-one, dúo y small group. Abre L–V 7–21:30 h. Acaba de abrir sede en Volpelleres: está creciendo. Hace SEO local por barrios (Valldoreix, Mirasol, Rubí…).  [Chat: Botones «¡QUIERO APUNTARME!» que enlazan a wa.link/x4vj6r. No se ha encontrado widget de chat. No he verificado que el número detrás de wa.link sea el mismo que el teléfono.]</t>
        </is>
      </c>
    </row>
    <row r="9">
      <c r="A9" s="2" t="n">
        <v>8</v>
      </c>
      <c r="B9" s="2" t="inlineStr">
        <is>
          <t>Evolve Salud y Ejercicio (Evolve Fit)</t>
        </is>
      </c>
      <c r="C9" s="2" t="inlineStr">
        <is>
          <t>Entrenamiento personal</t>
        </is>
      </c>
      <c r="D9" s="2" t="inlineStr">
        <is>
          <t>Sant Cugat</t>
        </is>
      </c>
      <c r="E9" s="2" t="inlineStr">
        <is>
          <t>Rambla del Celler, 121, local 20</t>
        </is>
      </c>
      <c r="F9" s="2" t="inlineStr">
        <is>
          <t>evolvefit.es</t>
        </is>
      </c>
      <c r="G9" s="2" t="inlineStr">
        <is>
          <t>@evolve_saludejercicio</t>
        </is>
      </c>
      <c r="H9" s="2" t="inlineStr">
        <is>
          <t>624 08 51 70 (su web dice «Llámanos o envíanos un WhatsApp»)</t>
        </is>
      </c>
      <c r="I9" s="2" t="inlineStr">
        <is>
          <t>624 08 51 70</t>
        </is>
      </c>
      <c r="J9" s="2" t="inlineStr">
        <is>
          <t>info@evolvefit.es</t>
        </is>
      </c>
      <c r="K9" s="2" t="inlineStr">
        <is>
          <t>Sin chat</t>
        </is>
      </c>
      <c r="L9" s="2" t="inlineStr">
        <is>
          <t>Alta</t>
        </is>
      </c>
      <c r="M9" s="2" t="inlineStr">
        <is>
          <t>Instagram DM</t>
        </is>
      </c>
      <c r="N9" s="3" t="n"/>
      <c r="O9" s="3" t="n"/>
      <c r="P9" s="2">
        <f>IF(AND(ISNUMBER(N9),ISNUMBER(O9)),ROUND((O9-N9)*24,1),"")</f>
        <v/>
      </c>
      <c r="Q9" s="2">
        <f>IF(P9="","",IF(P9&lt;=0.25,"Rápido (≤15 min)",IF(P9&lt;=2,"Aceptable (≤2 h)","Lento (&gt;2 h)")))</f>
        <v/>
      </c>
      <c r="R9" s="2" t="inlineStr">
        <is>
          <t>Pendiente</t>
        </is>
      </c>
      <c r="S9" s="4" t="n"/>
      <c r="T9" s="2" t="inlineStr">
        <is>
          <t>Centro pequeño de entrenamiento personal y grupos de hasta 6 personas, además de plan online. Web hecha por Moodka Studio. Está dentro de una zona comercial privada (código 409#): una buena excusa para un bot que explique cómo llegar.  [Chat: No hay ningún elemento de chat ni de WhatsApp, ni enlaces wa.me en la portada. Solo formulario y teléfono en /contacto.]</t>
        </is>
      </c>
    </row>
    <row r="10">
      <c r="A10" s="2" t="n">
        <v>9</v>
      </c>
      <c r="B10" s="2" t="inlineStr">
        <is>
          <t>BIM Pilates (Believe in Movement)</t>
        </is>
      </c>
      <c r="C10" s="2" t="inlineStr">
        <is>
          <t>Pilates</t>
        </is>
      </c>
      <c r="D10" s="2" t="inlineStr">
        <is>
          <t>Sant Cugat</t>
        </is>
      </c>
      <c r="E10" s="2" t="inlineStr">
        <is>
          <t>C/ Benet Cortada, 50 (Volpelleres)</t>
        </is>
      </c>
      <c r="F10" s="2" t="inlineStr">
        <is>
          <t>believeinmovement.com</t>
        </is>
      </c>
      <c r="G10" s="2" t="inlineStr">
        <is>
          <t>@believeinmovement</t>
        </is>
      </c>
      <c r="H10" s="2" t="inlineStr">
        <is>
          <t>686 788 227</t>
        </is>
      </c>
      <c r="I10" s="2" t="inlineStr">
        <is>
          <t>686 788 227</t>
        </is>
      </c>
      <c r="J10" s="2" t="inlineStr">
        <is>
          <t>info@believeinmovement.com</t>
        </is>
      </c>
      <c r="K10" s="2" t="inlineStr">
        <is>
          <t>Solo botón WhatsApp</t>
        </is>
      </c>
      <c r="L10" s="2" t="inlineStr">
        <is>
          <t>Alta</t>
        </is>
      </c>
      <c r="M10" s="2" t="inlineStr">
        <is>
          <t>Instagram DM</t>
        </is>
      </c>
      <c r="N10" s="3" t="n"/>
      <c r="O10" s="3" t="n"/>
      <c r="P10" s="2">
        <f>IF(AND(ISNUMBER(N10),ISNUMBER(O10)),ROUND((O10-N10)*24,1),"")</f>
        <v/>
      </c>
      <c r="Q10" s="2">
        <f>IF(P10="","",IF(P10&lt;=0.25,"Rápido (≤15 min)",IF(P10&lt;=2,"Aceptable (≤2 h)","Lento (&gt;2 h)")))</f>
        <v/>
      </c>
      <c r="R10" s="2" t="inlineStr">
        <is>
          <t>Pendiente</t>
        </is>
      </c>
      <c r="S10" s="4" t="n"/>
      <c r="T10" s="2" t="inlineStr">
        <is>
          <t>Estudio boutique, Reformer con máximo 3 personas. Avisa de que solo atiende visitas fuera del horario de clases: mientras da clase no puede contestar.  [Chat: Enlace wa.me/+34686788227 solo en /contacto. En la portada no hay botón flotante ni widget de chat.]</t>
        </is>
      </c>
    </row>
    <row r="11">
      <c r="A11" s="2" t="n">
        <v>10</v>
      </c>
      <c r="B11" s="2" t="inlineStr">
        <is>
          <t>Baum Pilates</t>
        </is>
      </c>
      <c r="C11" s="2" t="inlineStr">
        <is>
          <t>Pilates</t>
        </is>
      </c>
      <c r="D11" s="2" t="inlineStr">
        <is>
          <t>Sant Cugat</t>
        </is>
      </c>
      <c r="E11" s="2" t="inlineStr">
        <is>
          <t>Plaça Ausiàs March 1-9, local 6 (Mira-sol Centre)</t>
        </is>
      </c>
      <c r="F11" s="2" t="inlineStr">
        <is>
          <t>baumpilates.com</t>
        </is>
      </c>
      <c r="G11" s="2" t="inlineStr">
        <is>
          <t>@baumpilates_santcugat</t>
        </is>
      </c>
      <c r="H11" s="2" t="inlineStr"/>
      <c r="I11" s="2" t="inlineStr">
        <is>
          <t>609 94 13 16</t>
        </is>
      </c>
      <c r="J11" s="2" t="inlineStr">
        <is>
          <t>info@baumpilates.com</t>
        </is>
      </c>
      <c r="K11" s="2" t="inlineStr">
        <is>
          <t>Sin chat</t>
        </is>
      </c>
      <c r="L11" s="2" t="inlineStr">
        <is>
          <t>Alta</t>
        </is>
      </c>
      <c r="M11" s="2" t="inlineStr">
        <is>
          <t>Instagram DM</t>
        </is>
      </c>
      <c r="N11" s="3" t="n"/>
      <c r="O11" s="3" t="n"/>
      <c r="P11" s="2">
        <f>IF(AND(ISNUMBER(N11),ISNUMBER(O11)),ROUND((O11-N11)*24,1),"")</f>
        <v/>
      </c>
      <c r="Q11" s="2">
        <f>IF(P11="","",IF(P11&lt;=0.25,"Rápido (≤15 min)",IF(P11&lt;=2,"Aceptable (≤2 h)","Lento (&gt;2 h)")))</f>
        <v/>
      </c>
      <c r="R11" s="2" t="inlineStr">
        <is>
          <t>Pendiente</t>
        </is>
      </c>
      <c r="S11" s="4" t="n"/>
      <c r="T11" s="2" t="inlineStr">
        <is>
          <t>Estudio independiente (método Peak Pilates), clases individuales y grupos de hasta 5. Atiende L–V 8:30–21 h y sábados 9–12 h.  [Chat: No hay ningún elemento de chat ni de WhatsApp, ni enlaces wa.me (portada y contacto).]</t>
        </is>
      </c>
    </row>
    <row r="12">
      <c r="A12" s="2" t="n">
        <v>11</v>
      </c>
      <c r="B12" s="2" t="inlineStr">
        <is>
          <t>Pilates OnMove</t>
        </is>
      </c>
      <c r="C12" s="2" t="inlineStr">
        <is>
          <t>Pilates</t>
        </is>
      </c>
      <c r="D12" s="2" t="inlineStr">
        <is>
          <t>Sant Cugat</t>
        </is>
      </c>
      <c r="E12" s="2" t="inlineStr">
        <is>
          <t>C/ Pau Casals, 26 (centro)</t>
        </is>
      </c>
      <c r="F12" s="2" t="inlineStr">
        <is>
          <t>pilatesonmove.com</t>
        </is>
      </c>
      <c r="G12" s="2" t="inlineStr">
        <is>
          <t>@pilatesonmove</t>
        </is>
      </c>
      <c r="H12" s="2" t="inlineStr"/>
      <c r="I12" s="2" t="inlineStr">
        <is>
          <t>655 811 740</t>
        </is>
      </c>
      <c r="J12" s="2" t="inlineStr"/>
      <c r="K12" s="2" t="inlineStr">
        <is>
          <t>Sin chat</t>
        </is>
      </c>
      <c r="L12" s="2" t="inlineStr">
        <is>
          <t>Alta</t>
        </is>
      </c>
      <c r="M12" s="2" t="inlineStr">
        <is>
          <t>Instagram DM</t>
        </is>
      </c>
      <c r="N12" s="3" t="n"/>
      <c r="O12" s="3" t="n"/>
      <c r="P12" s="2">
        <f>IF(AND(ISNUMBER(N12),ISNUMBER(O12)),ROUND((O12-N12)*24,1),"")</f>
        <v/>
      </c>
      <c r="Q12" s="2">
        <f>IF(P12="","",IF(P12&lt;=0.25,"Rápido (≤15 min)",IF(P12&lt;=2,"Aceptable (≤2 h)","Lento (&gt;2 h)")))</f>
        <v/>
      </c>
      <c r="R12" s="2" t="inlineStr">
        <is>
          <t>Pendiente</t>
        </is>
      </c>
      <c r="S12" s="4" t="n"/>
      <c r="T12" s="2" t="inlineStr">
        <is>
          <t>Grupos de 4–5 personas, pilates con máquinas e hipopresivos. Clases L–V 8–22:30 h, pero atención al público solo de 16 a 20 h, y las plazas se consultan llamando. Encaje muy claro para un bot de disponibilidad y reservas.  [Chat: No hay ningún elemento de chat ni de WhatsApp, ni enlaces wa.me en la portada.]</t>
        </is>
      </c>
    </row>
    <row r="13">
      <c r="A13" s="2" t="n">
        <v>12</v>
      </c>
      <c r="B13" s="2" t="inlineStr">
        <is>
          <t>My Motion Training</t>
        </is>
      </c>
      <c r="C13" s="2" t="inlineStr">
        <is>
          <t>Pilates</t>
        </is>
      </c>
      <c r="D13" s="2" t="inlineStr">
        <is>
          <t>Sant Cugat</t>
        </is>
      </c>
      <c r="E13" s="2" t="inlineStr">
        <is>
          <t>Volpelleres (zona Parc Central)</t>
        </is>
      </c>
      <c r="F13" s="2" t="inlineStr">
        <is>
          <t>mymotiontraining.com</t>
        </is>
      </c>
      <c r="G13" s="2" t="inlineStr"/>
      <c r="H13" s="2" t="inlineStr">
        <is>
          <t>654 791 015</t>
        </is>
      </c>
      <c r="I13" s="2" t="inlineStr"/>
      <c r="J13" s="2" t="inlineStr">
        <is>
          <t>info@mymotiontraining.com</t>
        </is>
      </c>
      <c r="K13" s="2" t="inlineStr">
        <is>
          <t>Solo botón WhatsApp</t>
        </is>
      </c>
      <c r="L13" s="2" t="inlineStr">
        <is>
          <t>Alta</t>
        </is>
      </c>
      <c r="M13" s="2" t="inlineStr">
        <is>
          <t>WhatsApp (como cliente) + llamada</t>
        </is>
      </c>
      <c r="N13" s="3" t="n"/>
      <c r="O13" s="3" t="n"/>
      <c r="P13" s="2">
        <f>IF(AND(ISNUMBER(N13),ISNUMBER(O13)),ROUND((O13-N13)*24,1),"")</f>
        <v/>
      </c>
      <c r="Q13" s="2">
        <f>IF(P13="","",IF(P13&lt;=0.25,"Rápido (≤15 min)",IF(P13&lt;=2,"Aceptable (≤2 h)","Lento (&gt;2 h)")))</f>
        <v/>
      </c>
      <c r="R13" s="2" t="inlineStr">
        <is>
          <t>Pendiente</t>
        </is>
      </c>
      <c r="S13" s="4" t="n"/>
      <c r="T13" s="2" t="inlineStr">
        <is>
          <t>Estudio de Pilates con máquinas, fisio, osteopatía, EMS y entrenamiento personal. Tiene etiqueta de conversión de Google Ads en el botón de WhatsApp: invierte en publicidad y las reservas acaban todas en WhatsApp.  [Chat: Botón flotante Joinchat (plugin creame-whatsapp-me, tel. 34654791015). Los botones «Reserva Online» enlazan a wa.link/nvtx3v. No se ha encontrado bot ni chat en vivo.]</t>
        </is>
      </c>
    </row>
    <row r="14">
      <c r="A14" s="2" t="n">
        <v>13</v>
      </c>
      <c r="B14" s="2" t="inlineStr">
        <is>
          <t>Autoescola L'Asfalt</t>
        </is>
      </c>
      <c r="C14" s="2" t="inlineStr">
        <is>
          <t>Autoescuela</t>
        </is>
      </c>
      <c r="D14" s="2" t="inlineStr">
        <is>
          <t>Sabadell</t>
        </is>
      </c>
      <c r="E14" s="2" t="inlineStr">
        <is>
          <t>Prat de la Riba 57-59 (08206) y C. de l'Advocat Cirera 5-11 (dos centros)</t>
        </is>
      </c>
      <c r="F14" s="2" t="inlineStr">
        <is>
          <t>lasfalt.com</t>
        </is>
      </c>
      <c r="G14" s="2" t="inlineStr">
        <is>
          <t>@lasfalt</t>
        </is>
      </c>
      <c r="H14" s="2" t="inlineStr">
        <is>
          <t>+34 616 353 364</t>
        </is>
      </c>
      <c r="I14" s="2" t="inlineStr">
        <is>
          <t>93 723 88 03</t>
        </is>
      </c>
      <c r="J14" s="2" t="inlineStr">
        <is>
          <t>info@lasfalt.com</t>
        </is>
      </c>
      <c r="K14" s="2" t="inlineStr">
        <is>
          <t>Solo botón WhatsApp</t>
        </is>
      </c>
      <c r="L14" s="2" t="inlineStr">
        <is>
          <t>Alta</t>
        </is>
      </c>
      <c r="M14" s="2" t="inlineStr">
        <is>
          <t>Instagram DM</t>
        </is>
      </c>
      <c r="N14" s="3" t="n"/>
      <c r="O14" s="3" t="n"/>
      <c r="P14" s="2">
        <f>IF(AND(ISNUMBER(N14),ISNUMBER(O14)),ROUND((O14-N14)*24,1),"")</f>
        <v/>
      </c>
      <c r="Q14" s="2">
        <f>IF(P14="","",IF(P14&lt;=0.25,"Rápido (≤15 min)",IF(P14&lt;=2,"Aceptable (≤2 h)","Lento (&gt;2 h)")))</f>
        <v/>
      </c>
      <c r="R14" s="2" t="inlineStr">
        <is>
          <t>Pendiente</t>
        </is>
      </c>
      <c r="S14" s="4" t="n"/>
      <c r="T14" s="2" t="inlineStr">
        <is>
          <t>Independiente, desde 1986, dos centros en Sabadell. Coche, moto, camión, autobús, CAP. Reseñas de Google en la web vía Trustindex. Blog activo (artículo del 06/09/2026).  [Chat: Enlace wa.me/34616353364 en la portada; la sección de FAQ dice «utiliza el formulario o WhatsApp». No se vio ningún widget de bot en el HTML renderizado.]</t>
        </is>
      </c>
    </row>
    <row r="15">
      <c r="A15" s="2" t="n">
        <v>14</v>
      </c>
      <c r="B15" s="2" t="inlineStr">
        <is>
          <t>Autoescuela Can Rull</t>
        </is>
      </c>
      <c r="C15" s="2" t="inlineStr">
        <is>
          <t>Autoescuela</t>
        </is>
      </c>
      <c r="D15" s="2" t="inlineStr">
        <is>
          <t>Sabadell</t>
        </is>
      </c>
      <c r="E15" s="2" t="inlineStr">
        <is>
          <t>C/ Gustavo Adolfo Bécquer 71 (08206)</t>
        </is>
      </c>
      <c r="F15" s="2" t="inlineStr">
        <is>
          <t>autoescuelacanrull.com</t>
        </is>
      </c>
      <c r="G15" s="2" t="inlineStr">
        <is>
          <t>@autoescuela_canrull</t>
        </is>
      </c>
      <c r="H15" s="2" t="inlineStr"/>
      <c r="I15" s="2" t="inlineStr">
        <is>
          <t>637 583 469</t>
        </is>
      </c>
      <c r="J15" s="2" t="inlineStr">
        <is>
          <t>autoescuelacanrull@hotmail.es</t>
        </is>
      </c>
      <c r="K15" s="2" t="inlineStr">
        <is>
          <t>Sin chat</t>
        </is>
      </c>
      <c r="L15" s="2" t="inlineStr">
        <is>
          <t>Alta</t>
        </is>
      </c>
      <c r="M15" s="2" t="inlineStr">
        <is>
          <t>Instagram DM</t>
        </is>
      </c>
      <c r="N15" s="3" t="n"/>
      <c r="O15" s="3" t="n"/>
      <c r="P15" s="2">
        <f>IF(AND(ISNUMBER(N15),ISNUMBER(O15)),ROUND((O15-N15)*24,1),"")</f>
        <v/>
      </c>
      <c r="Q15" s="2">
        <f>IF(P15="","",IF(P15&lt;=0.25,"Rápido (≤15 min)",IF(P15&lt;=2,"Aceptable (≤2 h)","Lento (&gt;2 h)")))</f>
        <v/>
      </c>
      <c r="R15" s="2" t="inlineStr">
        <is>
          <t>Pendiente</t>
        </is>
      </c>
      <c r="S15" s="4" t="n"/>
      <c r="T15" s="2" t="inlineStr">
        <is>
          <t>Pequeña e independiente. Oficina L-J 9-13 y 15-21 h, V hasta 20 h. Google 4,3 (19 reseñas, según Trustlocal). Unos 1.231 seguidores en IG. Carnés B, AM, A1, A2, A. Usa email de Hotmail: poca digitalización.  [Chat: Web en Wix. Ni wa.me ni dominios de chat en los enlaces de la portada ni en la página de contacto; solo teléfono, email y Facebook.]</t>
        </is>
      </c>
    </row>
    <row r="16">
      <c r="A16" s="2" t="n">
        <v>15</v>
      </c>
      <c r="B16" s="2" t="inlineStr">
        <is>
          <t>Autoescola Survial</t>
        </is>
      </c>
      <c r="C16" s="2" t="inlineStr">
        <is>
          <t>Autoescuela</t>
        </is>
      </c>
      <c r="D16" s="2" t="inlineStr">
        <is>
          <t>Sabadell</t>
        </is>
      </c>
      <c r="E16" s="2" t="inlineStr"/>
      <c r="F16" s="2" t="inlineStr">
        <is>
          <t>survial.es</t>
        </is>
      </c>
      <c r="G16" s="2" t="inlineStr">
        <is>
          <t>@survial.es</t>
        </is>
      </c>
      <c r="H16" s="2" t="inlineStr">
        <is>
          <t>+34 627 461 634</t>
        </is>
      </c>
      <c r="I16" s="2" t="inlineStr"/>
      <c r="J16" s="2" t="inlineStr"/>
      <c r="K16" s="2" t="inlineStr">
        <is>
          <t>Solo botón WhatsApp</t>
        </is>
      </c>
      <c r="L16" s="2" t="inlineStr">
        <is>
          <t>Alta</t>
        </is>
      </c>
      <c r="M16" s="2" t="inlineStr">
        <is>
          <t>Instagram DM</t>
        </is>
      </c>
      <c r="N16" s="3" t="n"/>
      <c r="O16" s="3" t="n"/>
      <c r="P16" s="2">
        <f>IF(AND(ISNUMBER(N16),ISNUMBER(O16)),ROUND((O16-N16)*24,1),"")</f>
        <v/>
      </c>
      <c r="Q16" s="2">
        <f>IF(P16="","",IF(P16&lt;=0.25,"Rápido (≤15 min)",IF(P16&lt;=2,"Aceptable (≤2 h)","Lento (&gt;2 h)")))</f>
        <v/>
      </c>
      <c r="R16" s="2" t="inlineStr">
        <is>
          <t>Pendiente</t>
        </is>
      </c>
      <c r="S16" s="4" t="n"/>
      <c r="T16" s="2" t="inlineStr">
        <is>
          <t>Fundada en 2017, independiente. B, A2 y A, más reciclaje y amaxofobia. Tiene app propia. Todo el contacto lo canaliza por WhatsApp, buen gancho para venderle respuesta automática. La dirección no aparece en el texto de la web (solo un enlace a Google Maps).  [Chat: Enlaces wa.me/+34627461634 en la portada y en /contacto («Escríbenos un WhatsApp… haz clic en el icono de WhatsApp»). No se vio bot.]</t>
        </is>
      </c>
    </row>
    <row r="17">
      <c r="A17" s="2" t="n">
        <v>16</v>
      </c>
      <c r="B17" s="2" t="inlineStr">
        <is>
          <t>Autoescola Al Volant</t>
        </is>
      </c>
      <c r="C17" s="2" t="inlineStr">
        <is>
          <t>Autoescuela</t>
        </is>
      </c>
      <c r="D17" s="2" t="inlineStr">
        <is>
          <t>Sabadell</t>
        </is>
      </c>
      <c r="E17" s="2" t="inlineStr">
        <is>
          <t>Av. d'Estrasburg 51 (08206)</t>
        </is>
      </c>
      <c r="F17" s="2" t="inlineStr">
        <is>
          <t>alvolant.com</t>
        </is>
      </c>
      <c r="G17" s="2" t="inlineStr">
        <is>
          <t>@alvolant</t>
        </is>
      </c>
      <c r="H17" s="2" t="inlineStr">
        <is>
          <t>+34 640 288 289</t>
        </is>
      </c>
      <c r="I17" s="2" t="inlineStr">
        <is>
          <t>93 724 22 07</t>
        </is>
      </c>
      <c r="J17" s="2" t="inlineStr"/>
      <c r="K17" s="2" t="inlineStr">
        <is>
          <t>Solo botón WhatsApp</t>
        </is>
      </c>
      <c r="L17" s="2" t="inlineStr">
        <is>
          <t>Alta</t>
        </is>
      </c>
      <c r="M17" s="2" t="inlineStr">
        <is>
          <t>Instagram DM</t>
        </is>
      </c>
      <c r="N17" s="3" t="n"/>
      <c r="O17" s="3" t="n"/>
      <c r="P17" s="2">
        <f>IF(AND(ISNUMBER(N17),ISNUMBER(O17)),ROUND((O17-N17)*24,1),"")</f>
        <v/>
      </c>
      <c r="Q17" s="2">
        <f>IF(P17="","",IF(P17&lt;=0.25,"Rápido (≤15 min)",IF(P17&lt;=2,"Aceptable (≤2 h)","Lento (&gt;2 h)")))</f>
        <v/>
      </c>
      <c r="R17" s="2" t="inlineStr">
        <is>
          <t>Pendiente</t>
        </is>
      </c>
      <c r="S17" s="4" t="n"/>
      <c r="T17" s="2" t="inlineStr">
        <is>
          <t>Pequeña: dos profesoras (Vanesa, teórica; Maribel, prácticas). Precios públicos: Pack 10 a 795 € y Pack 20 a 1.250 €. FAQ larga en la web, ideal como base de conocimiento para un bot.  [Chat: Los botones «Escríbenos» apuntan a wa.me/34640288289. No se vio widget de chat.]</t>
        </is>
      </c>
    </row>
    <row r="18">
      <c r="A18" s="2" t="n">
        <v>17</v>
      </c>
      <c r="B18" s="2" t="inlineStr">
        <is>
          <t>Autoescola Platinum</t>
        </is>
      </c>
      <c r="C18" s="2" t="inlineStr">
        <is>
          <t>Autoescuela</t>
        </is>
      </c>
      <c r="D18" s="2" t="inlineStr">
        <is>
          <t>Sabadell</t>
        </is>
      </c>
      <c r="E18" s="2" t="inlineStr">
        <is>
          <t>Carrer de Font i Sagué 14 (08206)</t>
        </is>
      </c>
      <c r="F18" s="2" t="inlineStr">
        <is>
          <t>platinumautoescola.com</t>
        </is>
      </c>
      <c r="G18" s="2" t="inlineStr">
        <is>
          <t>@autoescolaplatinum</t>
        </is>
      </c>
      <c r="H18" s="2" t="inlineStr">
        <is>
          <t>657 914 509</t>
        </is>
      </c>
      <c r="I18" s="2" t="inlineStr">
        <is>
          <t>93 717 86 12</t>
        </is>
      </c>
      <c r="J18" s="2" t="inlineStr"/>
      <c r="K18" s="2" t="inlineStr">
        <is>
          <t>Sin chat</t>
        </is>
      </c>
      <c r="L18" s="2" t="inlineStr">
        <is>
          <t>Alta</t>
        </is>
      </c>
      <c r="M18" s="2" t="inlineStr">
        <is>
          <t>Instagram DM</t>
        </is>
      </c>
      <c r="N18" s="3" t="n"/>
      <c r="O18" s="3" t="n"/>
      <c r="P18" s="2">
        <f>IF(AND(ISNUMBER(N18),ISNUMBER(O18)),ROUND((O18-N18)*24,1),"")</f>
        <v/>
      </c>
      <c r="Q18" s="2">
        <f>IF(P18="","",IF(P18&lt;=0.25,"Rápido (≤15 min)",IF(P18&lt;=2,"Aceptable (≤2 h)","Lento (&gt;2 h)")))</f>
        <v/>
      </c>
      <c r="R18" s="2" t="inlineStr">
        <is>
          <t>Pendiente</t>
        </is>
      </c>
      <c r="S18" s="4" t="n"/>
      <c r="T18" s="2" t="inlineStr">
        <is>
          <t>Independiente, de carácter familiar. Permisos B, A2 y A. Captación por formulario («Rellena nuestro formulario y nos pondremos en contacto»). En la web dice 20 años de experiencia y en la portada 40.  [Chat: El número de WhatsApp aparece solo como texto, sin enlace wa.me ni botón. No hay dominios de chat en los enlaces. El email está protegido por Cloudflare y no se pudo leer.]</t>
        </is>
      </c>
    </row>
    <row r="19">
      <c r="A19" s="2" t="n">
        <v>18</v>
      </c>
      <c r="B19" s="2" t="inlineStr">
        <is>
          <t>Autoescola Gresol</t>
        </is>
      </c>
      <c r="C19" s="2" t="inlineStr">
        <is>
          <t>Autoescuela</t>
        </is>
      </c>
      <c r="D19" s="2" t="inlineStr">
        <is>
          <t>Sabadell</t>
        </is>
      </c>
      <c r="E19" s="2" t="inlineStr">
        <is>
          <t>C/ Pare Rodés 6 (08208)</t>
        </is>
      </c>
      <c r="F19" s="2" t="inlineStr">
        <is>
          <t>autoescolagresol.cat</t>
        </is>
      </c>
      <c r="G19" s="2" t="inlineStr">
        <is>
          <t>@autoescolagresol</t>
        </is>
      </c>
      <c r="H19" s="2" t="inlineStr">
        <is>
          <t>647 439 850</t>
        </is>
      </c>
      <c r="I19" s="2" t="inlineStr">
        <is>
          <t>647 439 850</t>
        </is>
      </c>
      <c r="J19" s="2" t="inlineStr">
        <is>
          <t>aegresol@gmail.com</t>
        </is>
      </c>
      <c r="K19" s="2" t="inlineStr">
        <is>
          <t>Sin chat</t>
        </is>
      </c>
      <c r="L19" s="2" t="inlineStr">
        <is>
          <t>Alta</t>
        </is>
      </c>
      <c r="M19" s="2" t="inlineStr">
        <is>
          <t>Instagram DM</t>
        </is>
      </c>
      <c r="N19" s="3" t="n"/>
      <c r="O19" s="3" t="n"/>
      <c r="P19" s="2">
        <f>IF(AND(ISNUMBER(N19),ISNUMBER(O19)),ROUND((O19-N19)*24,1),"")</f>
        <v/>
      </c>
      <c r="Q19" s="2">
        <f>IF(P19="","",IF(P19&lt;=0.25,"Rápido (≤15 min)",IF(P19&lt;=2,"Aceptable (≤2 h)","Lento (&gt;2 h)")))</f>
        <v/>
      </c>
      <c r="R19" s="2" t="inlineStr">
        <is>
          <t>Pendiente</t>
        </is>
      </c>
      <c r="S19" s="4" t="n"/>
      <c r="T19" s="2" t="inlineStr">
        <is>
          <t>Desde 1978. Según su web, la primera autoescola de Sabadell con ISO 9001 de AENOR. Web antigua en catalán, con una segunda web nueva (Kit Digital) que no cargó.  [Chat: Portada de autoescolagresol.cat sin wa.me ni widgets de chat; solo email, Facebook e Instagram. El WhatsApp sale en su bio de Instagram. El segundo dominio, autoescuelagresol.es, no respondió.]</t>
        </is>
      </c>
    </row>
    <row r="20">
      <c r="A20" s="2" t="n">
        <v>19</v>
      </c>
      <c r="B20" s="2" t="inlineStr">
        <is>
          <t>CrossBox Line Sabadell</t>
        </is>
      </c>
      <c r="C20" s="2" t="inlineStr">
        <is>
          <t>Box CrossFit</t>
        </is>
      </c>
      <c r="D20" s="2" t="inlineStr">
        <is>
          <t>Sabadell</t>
        </is>
      </c>
      <c r="E20" s="2" t="inlineStr">
        <is>
          <t>Passatge de Bellaterra 30 (08203), centro, junto a Renfe y FGC</t>
        </is>
      </c>
      <c r="F20" s="2" t="inlineStr">
        <is>
          <t>crossboxlinesabadell.com</t>
        </is>
      </c>
      <c r="G20" s="2" t="inlineStr">
        <is>
          <t>@linecrossbox</t>
        </is>
      </c>
      <c r="H20" s="2" t="inlineStr">
        <is>
          <t>683 45 98 74</t>
        </is>
      </c>
      <c r="I20" s="2" t="inlineStr">
        <is>
          <t>938 54 50 23</t>
        </is>
      </c>
      <c r="J20" s="2" t="inlineStr">
        <is>
          <t>infolinecrossbox@gmail.com</t>
        </is>
      </c>
      <c r="K20" s="2" t="inlineStr">
        <is>
          <t>Sin chat</t>
        </is>
      </c>
      <c r="L20" s="2" t="inlineStr">
        <is>
          <t>Alta</t>
        </is>
      </c>
      <c r="M20" s="2" t="inlineStr">
        <is>
          <t>Instagram DM</t>
        </is>
      </c>
      <c r="N20" s="3" t="n"/>
      <c r="O20" s="3" t="n"/>
      <c r="P20" s="2">
        <f>IF(AND(ISNUMBER(N20),ISNUMBER(O20)),ROUND((O20-N20)*24,1),"")</f>
        <v/>
      </c>
      <c r="Q20" s="2">
        <f>IF(P20="","",IF(P20&lt;=0.25,"Rápido (≤15 min)",IF(P20&lt;=2,"Aceptable (≤2 h)","Lento (&gt;2 h)")))</f>
        <v/>
      </c>
      <c r="R20" s="2" t="inlineStr">
        <is>
          <t>Pendiente</t>
        </is>
      </c>
      <c r="S20" s="4" t="n"/>
      <c r="T20" s="2" t="inlineStr">
        <is>
          <t>Box independiente en pleno centro. Clase de prueba. Unos 2.500 seguidores en IG. Grupo «Mini Liners» para niños. 4,9 en Studiomaps.  [Chat: «Móvil/Whatsapp: 683 45 98 74» solo como texto, sin enlace wa.me ni widget en los enlaces.]</t>
        </is>
      </c>
    </row>
    <row r="21">
      <c r="A21" s="2" t="n">
        <v>20</v>
      </c>
      <c r="B21" s="2" t="inlineStr">
        <is>
          <t>Loom Functional Training</t>
        </is>
      </c>
      <c r="C21" s="2" t="inlineStr">
        <is>
          <t>Box CrossFit</t>
        </is>
      </c>
      <c r="D21" s="2" t="inlineStr">
        <is>
          <t>Sabadell</t>
        </is>
      </c>
      <c r="E21" s="2" t="inlineStr">
        <is>
          <t>Carrer de Cuba 7, polígono Can Feu (08205)</t>
        </is>
      </c>
      <c r="F21" s="2" t="inlineStr">
        <is>
          <t>loom-box.com</t>
        </is>
      </c>
      <c r="G21" s="2" t="inlineStr">
        <is>
          <t>@loom_box</t>
        </is>
      </c>
      <c r="H21" s="2" t="inlineStr"/>
      <c r="I21" s="2" t="inlineStr">
        <is>
          <t>+34 607 780 915</t>
        </is>
      </c>
      <c r="J21" s="2" t="inlineStr">
        <is>
          <t>box@loom-box.com</t>
        </is>
      </c>
      <c r="K21" s="2" t="inlineStr">
        <is>
          <t>Sin chat</t>
        </is>
      </c>
      <c r="L21" s="2" t="inlineStr">
        <is>
          <t>Alta</t>
        </is>
      </c>
      <c r="M21" s="2" t="inlineStr">
        <is>
          <t>Instagram DM</t>
        </is>
      </c>
      <c r="N21" s="3" t="n"/>
      <c r="O21" s="3" t="n"/>
      <c r="P21" s="2">
        <f>IF(AND(ISNUMBER(N21),ISNUMBER(O21)),ROUND((O21-N21)*24,1),"")</f>
        <v/>
      </c>
      <c r="Q21" s="2">
        <f>IF(P21="","",IF(P21&lt;=0.25,"Rápido (≤15 min)",IF(P21&lt;=2,"Aceptable (≤2 h)","Lento (&gt;2 h)")))</f>
        <v/>
      </c>
      <c r="R21" s="2" t="inlineStr">
        <is>
          <t>Pendiente</t>
        </is>
      </c>
      <c r="S21" s="4" t="n"/>
      <c r="T21" s="2" t="inlineStr">
        <is>
          <t>Abierto desde 2017, más de 700 m². L-V 7:00-21:30, sábado 11-13. Hace eventos (Family Day).  [Chat: Solo formulario de contacto. No hay wa.me ni dominios de chat en los enlaces. El enlace a Instagram de la web está roto (lleva a «Cross%20Trainingloom»): detalle útil para el pitch.]</t>
        </is>
      </c>
    </row>
    <row r="22">
      <c r="A22" s="2" t="n">
        <v>21</v>
      </c>
      <c r="B22" s="2" t="inlineStr">
        <is>
          <t>Human Movement Athletics (HMA)</t>
        </is>
      </c>
      <c r="C22" s="2" t="inlineStr">
        <is>
          <t>Entrenamiento personal</t>
        </is>
      </c>
      <c r="D22" s="2" t="inlineStr">
        <is>
          <t>Sabadell</t>
        </is>
      </c>
      <c r="E22" s="2" t="inlineStr">
        <is>
          <t>Carretera de Barcelona 358 (08203)</t>
        </is>
      </c>
      <c r="F22" s="2" t="inlineStr">
        <is>
          <t>hmaathletics.com</t>
        </is>
      </c>
      <c r="G22" s="2" t="inlineStr">
        <is>
          <t>@hmaathletics.oficial</t>
        </is>
      </c>
      <c r="H22" s="2" t="inlineStr"/>
      <c r="I22" s="2" t="inlineStr">
        <is>
          <t>+34 722 636 912</t>
        </is>
      </c>
      <c r="J22" s="2" t="inlineStr">
        <is>
          <t>Info@hmaathletics.com</t>
        </is>
      </c>
      <c r="K22" s="2" t="inlineStr">
        <is>
          <t>Sin chat</t>
        </is>
      </c>
      <c r="L22" s="2" t="inlineStr">
        <is>
          <t>Alta</t>
        </is>
      </c>
      <c r="M22" s="2" t="inlineStr">
        <is>
          <t>Instagram DM</t>
        </is>
      </c>
      <c r="N22" s="3" t="n"/>
      <c r="O22" s="3" t="n"/>
      <c r="P22" s="2">
        <f>IF(AND(ISNUMBER(N22),ISNUMBER(O22)),ROUND((O22-N22)*24,1),"")</f>
        <v/>
      </c>
      <c r="Q22" s="2">
        <f>IF(P22="","",IF(P22&lt;=0.25,"Rápido (≤15 min)",IF(P22&lt;=2,"Aceptable (≤2 h)","Lento (&gt;2 h)")))</f>
        <v/>
      </c>
      <c r="R22" s="2" t="inlineStr">
        <is>
          <t>Pendiente</t>
        </is>
      </c>
      <c r="S22" s="4" t="n"/>
      <c r="T22" s="2" t="inlineStr">
        <is>
          <t>Entrenamiento en grupos de máximo 8 personas, entrenamiento personal, fisioterapia y nutrición (1-to-1 desde 130 €). Abre L-J de 7:00 a 21:15. Web en catalán con copyright de 2022.  [Chat: Formulario «et trucarem». No hay wa.me ni widget. La palabra WhatsApp solo aparece como servicio incluido en un plan de nutrición.]</t>
        </is>
      </c>
    </row>
    <row r="23">
      <c r="A23" s="2" t="n">
        <v>22</v>
      </c>
      <c r="B23" s="2" t="inlineStr">
        <is>
          <t>Pilates Sabadell</t>
        </is>
      </c>
      <c r="C23" s="2" t="inlineStr">
        <is>
          <t>Pilates</t>
        </is>
      </c>
      <c r="D23" s="2" t="inlineStr">
        <is>
          <t>Sabadell</t>
        </is>
      </c>
      <c r="E23" s="2" t="inlineStr">
        <is>
          <t>Carrer Vallès 40 (08201), centro</t>
        </is>
      </c>
      <c r="F23" s="2" t="inlineStr">
        <is>
          <t>pilatesabadell.com</t>
        </is>
      </c>
      <c r="G23" s="2" t="inlineStr">
        <is>
          <t>@pilatessabadell</t>
        </is>
      </c>
      <c r="H23" s="2" t="inlineStr"/>
      <c r="I23" s="2" t="inlineStr">
        <is>
          <t>640 17 97 40</t>
        </is>
      </c>
      <c r="J23" s="2" t="inlineStr">
        <is>
          <t>pilatesabadellinfo@gmail.com</t>
        </is>
      </c>
      <c r="K23" s="2" t="inlineStr">
        <is>
          <t>Sin chat</t>
        </is>
      </c>
      <c r="L23" s="2" t="inlineStr">
        <is>
          <t>Alta</t>
        </is>
      </c>
      <c r="M23" s="2" t="inlineStr">
        <is>
          <t>Instagram DM</t>
        </is>
      </c>
      <c r="N23" s="3" t="n"/>
      <c r="O23" s="3" t="n"/>
      <c r="P23" s="2">
        <f>IF(AND(ISNUMBER(N23),ISNUMBER(O23)),ROUND((O23-N23)*24,1),"")</f>
        <v/>
      </c>
      <c r="Q23" s="2">
        <f>IF(P23="","",IF(P23&lt;=0.25,"Rápido (≤15 min)",IF(P23&lt;=2,"Aceptable (≤2 h)","Lento (&gt;2 h)")))</f>
        <v/>
      </c>
      <c r="R23" s="2" t="inlineStr">
        <is>
          <t>Pendiente</t>
        </is>
      </c>
      <c r="S23" s="4" t="n"/>
      <c r="T23" s="2" t="inlineStr">
        <is>
          <t>Desde 2007 (según su bio de IG). Clases privadas, dúos y grupos reducidos; Reformer, hipopresivos y embarazadas. «Reserva tu primera clase» por consulta, sin reserva online visible.  [Chat: Portada y /contacto sin wa.me ni dominios de chat; solo teléfono, email y redes.]</t>
        </is>
      </c>
    </row>
    <row r="24">
      <c r="A24" s="2" t="n">
        <v>23</v>
      </c>
      <c r="B24" s="2" t="inlineStr">
        <is>
          <t>Pointpilates</t>
        </is>
      </c>
      <c r="C24" s="2" t="inlineStr">
        <is>
          <t>Pilates</t>
        </is>
      </c>
      <c r="D24" s="2" t="inlineStr">
        <is>
          <t>Sabadell</t>
        </is>
      </c>
      <c r="E24" s="2" t="inlineStr">
        <is>
          <t>C/ Alemanya 42 (08201)</t>
        </is>
      </c>
      <c r="F24" s="2" t="inlineStr">
        <is>
          <t>pointpilates.es</t>
        </is>
      </c>
      <c r="G24" s="2" t="inlineStr">
        <is>
          <t>@sabadellpointpilates</t>
        </is>
      </c>
      <c r="H24" s="2" t="inlineStr"/>
      <c r="I24" s="2" t="inlineStr">
        <is>
          <t>(+34) 660 041 101</t>
        </is>
      </c>
      <c r="J24" s="2" t="inlineStr">
        <is>
          <t>sabadell@pointpilates.es</t>
        </is>
      </c>
      <c r="K24" s="2" t="inlineStr">
        <is>
          <t>Sin chat</t>
        </is>
      </c>
      <c r="L24" s="2" t="inlineStr">
        <is>
          <t>Alta</t>
        </is>
      </c>
      <c r="M24" s="2" t="inlineStr">
        <is>
          <t>Instagram DM</t>
        </is>
      </c>
      <c r="N24" s="3" t="n"/>
      <c r="O24" s="3" t="n"/>
      <c r="P24" s="2">
        <f>IF(AND(ISNUMBER(N24),ISNUMBER(O24)),ROUND((O24-N24)*24,1),"")</f>
        <v/>
      </c>
      <c r="Q24" s="2">
        <f>IF(P24="","",IF(P24&lt;=0.25,"Rápido (≤15 min)",IF(P24&lt;=2,"Aceptable (≤2 h)","Lento (&gt;2 h)")))</f>
        <v/>
      </c>
      <c r="R24" s="2" t="inlineStr">
        <is>
          <t>Pendiente</t>
        </is>
      </c>
      <c r="S24" s="4" t="n"/>
      <c r="T24" s="2" t="inlineStr">
        <is>
          <t>Centro independiente, horario L-V de 9:00 a 22:00 (muchas consultas fuera de horario de oficina). La web la hizo una agencia de Menorca.  [Chat: Portada y /contacto sin wa.me ni widgets de chat; solo formulario, email y teléfono.]</t>
        </is>
      </c>
    </row>
    <row r="25">
      <c r="A25" s="2" t="n">
        <v>24</v>
      </c>
      <c r="B25" s="2" t="inlineStr">
        <is>
          <t>Espai Barré</t>
        </is>
      </c>
      <c r="C25" s="2" t="inlineStr">
        <is>
          <t>Pilates</t>
        </is>
      </c>
      <c r="D25" s="2" t="inlineStr">
        <is>
          <t>Sabadell</t>
        </is>
      </c>
      <c r="E25" s="2" t="inlineStr">
        <is>
          <t>Carrer d'en Font 12</t>
        </is>
      </c>
      <c r="F25" s="2" t="inlineStr">
        <is>
          <t>espaibarre.com</t>
        </is>
      </c>
      <c r="G25" s="2" t="inlineStr">
        <is>
          <t>@espaibarre</t>
        </is>
      </c>
      <c r="H25" s="2" t="inlineStr"/>
      <c r="I25" s="2" t="inlineStr">
        <is>
          <t>673 681 310</t>
        </is>
      </c>
      <c r="J25" s="2" t="inlineStr">
        <is>
          <t>hola@espaibarre.com</t>
        </is>
      </c>
      <c r="K25" s="2" t="inlineStr">
        <is>
          <t>Sin chat</t>
        </is>
      </c>
      <c r="L25" s="2" t="inlineStr">
        <is>
          <t>Media</t>
        </is>
      </c>
      <c r="M25" s="2" t="inlineStr">
        <is>
          <t>Instagram DM</t>
        </is>
      </c>
      <c r="N25" s="3" t="n"/>
      <c r="O25" s="3" t="n"/>
      <c r="P25" s="2">
        <f>IF(AND(ISNUMBER(N25),ISNUMBER(O25)),ROUND((O25-N25)*24,1),"")</f>
        <v/>
      </c>
      <c r="Q25" s="2">
        <f>IF(P25="","",IF(P25&lt;=0.25,"Rápido (≤15 min)",IF(P25&lt;=2,"Aceptable (≤2 h)","Lento (&gt;2 h)")))</f>
        <v/>
      </c>
      <c r="R25" s="2" t="inlineStr">
        <is>
          <t>Pendiente</t>
        </is>
      </c>
      <c r="S25" s="4" t="n"/>
      <c r="T25" s="2" t="inlineStr">
        <is>
          <t>Según su web, el primer centro de barre de Sabadell; también pilates reformer en grupos reducidos. L-J de 9/10 a 20 h. Ya reserva online, así que el bot serviría sobre todo para dudas y captación.  [Chat: Sin wa.me ni dominios de chat en la portada ni en /contacto. Las reservas van por bsport y una app propia.]</t>
        </is>
      </c>
    </row>
    <row r="26">
      <c r="A26" s="2" t="n">
        <v>25</v>
      </c>
      <c r="B26" s="2" t="inlineStr">
        <is>
          <t>Autoescola Sant Joan</t>
        </is>
      </c>
      <c r="C26" s="2" t="inlineStr">
        <is>
          <t>Autoescuela</t>
        </is>
      </c>
      <c r="D26" s="2" t="inlineStr">
        <is>
          <t>Terrassa</t>
        </is>
      </c>
      <c r="E26" s="2" t="inlineStr">
        <is>
          <t>Carrer dels Voluntaris, 97, Local 2 (08225)</t>
        </is>
      </c>
      <c r="F26" s="2" t="inlineStr">
        <is>
          <t>autoescolasantjoan.com</t>
        </is>
      </c>
      <c r="G26" s="2" t="inlineStr">
        <is>
          <t>@autoescolasantjoanterrassa</t>
        </is>
      </c>
      <c r="H26" s="2" t="inlineStr">
        <is>
          <t>640 25 38 17</t>
        </is>
      </c>
      <c r="I26" s="2" t="inlineStr">
        <is>
          <t>640 25 38 17</t>
        </is>
      </c>
      <c r="J26" s="2" t="inlineStr">
        <is>
          <t>autoescolasantjoan@gmail.com</t>
        </is>
      </c>
      <c r="K26" s="2" t="inlineStr">
        <is>
          <t>Solo botón WhatsApp</t>
        </is>
      </c>
      <c r="L26" s="2" t="inlineStr">
        <is>
          <t>Alta</t>
        </is>
      </c>
      <c r="M26" s="2" t="inlineStr">
        <is>
          <t>Instagram DM</t>
        </is>
      </c>
      <c r="N26" s="3" t="n"/>
      <c r="O26" s="3" t="n"/>
      <c r="P26" s="2">
        <f>IF(AND(ISNUMBER(N26),ISNUMBER(O26)),ROUND((O26-N26)*24,1),"")</f>
        <v/>
      </c>
      <c r="Q26" s="2">
        <f>IF(P26="","",IF(P26&lt;=0.25,"Rápido (≤15 min)",IF(P26&lt;=2,"Aceptable (≤2 h)","Lento (&gt;2 h)")))</f>
        <v/>
      </c>
      <c r="R26" s="2" t="inlineStr">
        <is>
          <t>Pendiente</t>
        </is>
      </c>
      <c r="S26" s="4" t="n"/>
      <c r="T26" s="2" t="inlineStr">
        <is>
          <t>Pequeña e independiente, más de 13 años. Horario: lunes a jueves 10–13 y 17–20, viernes 17–19. Fuera de ese horario nadie contesta, así que es buen candidato para la prueba nocturna.  [Chat: Enlace api.whatsapp.com/send?phone=34640253817 en un widget HTML («Mándanos un WhatsApp»). Ningún widget de bot ni de chat en vivo.]</t>
        </is>
      </c>
    </row>
    <row r="27">
      <c r="A27" s="2" t="n">
        <v>26</v>
      </c>
      <c r="B27" s="2" t="inlineStr">
        <is>
          <t>Autoescuela Piedra</t>
        </is>
      </c>
      <c r="C27" s="2" t="inlineStr">
        <is>
          <t>Autoescuela</t>
        </is>
      </c>
      <c r="D27" s="2" t="inlineStr">
        <is>
          <t>Terrassa</t>
        </is>
      </c>
      <c r="E27" s="2" t="inlineStr">
        <is>
          <t>Ctra. de Castellar, 271 (08226) y C/ Carrasco i Formiguera, 17 (08224)</t>
        </is>
      </c>
      <c r="F27" s="2" t="inlineStr">
        <is>
          <t>autoescuelapiedra.com</t>
        </is>
      </c>
      <c r="G27" s="2" t="inlineStr">
        <is>
          <t>@aepiedra</t>
        </is>
      </c>
      <c r="H27" s="2" t="inlineStr">
        <is>
          <t>640 81 07 02</t>
        </is>
      </c>
      <c r="I27" s="2" t="inlineStr">
        <is>
          <t>93 700 70 00 / 93 783 61 59</t>
        </is>
      </c>
      <c r="J27" s="2" t="inlineStr">
        <is>
          <t>info@autoescuelapiedra.com</t>
        </is>
      </c>
      <c r="K27" s="2" t="inlineStr">
        <is>
          <t>Solo botón WhatsApp</t>
        </is>
      </c>
      <c r="L27" s="2" t="inlineStr">
        <is>
          <t>Alta</t>
        </is>
      </c>
      <c r="M27" s="2" t="inlineStr">
        <is>
          <t>Instagram DM</t>
        </is>
      </c>
      <c r="N27" s="3" t="n"/>
      <c r="O27" s="3" t="n"/>
      <c r="P27" s="2">
        <f>IF(AND(ISNUMBER(N27),ISNUMBER(O27)),ROUND((O27-N27)*24,1),"")</f>
        <v/>
      </c>
      <c r="Q27" s="2">
        <f>IF(P27="","",IF(P27&lt;=0.25,"Rápido (≤15 min)",IF(P27&lt;=2,"Aceptable (≤2 h)","Lento (&gt;2 h)")))</f>
        <v/>
      </c>
      <c r="R27" s="2" t="inlineStr">
        <is>
          <t>Pendiente</t>
        </is>
      </c>
      <c r="S27" s="4" t="n"/>
      <c r="T27" s="2" t="inlineStr">
        <is>
          <t>2 locales en Terrassa. Matrícula y teórica online. Formulario de preguntas en la web.  [Chat: Plugin «Click to Chat» (div ht-ctc-chat, número 34640810702) y «Call Now Button». Sin bot.]</t>
        </is>
      </c>
    </row>
    <row r="28">
      <c r="A28" s="2" t="n">
        <v>27</v>
      </c>
      <c r="B28" s="2" t="inlineStr">
        <is>
          <t>Autoescola Ègara</t>
        </is>
      </c>
      <c r="C28" s="2" t="inlineStr">
        <is>
          <t>Autoescuela</t>
        </is>
      </c>
      <c r="D28" s="2" t="inlineStr">
        <is>
          <t>Terrassa</t>
        </is>
      </c>
      <c r="E28" s="2" t="inlineStr">
        <is>
          <t>Ctra. de Martorell, 112</t>
        </is>
      </c>
      <c r="F28" s="2" t="inlineStr">
        <is>
          <t>autoescolaegara.es</t>
        </is>
      </c>
      <c r="G28" s="2" t="inlineStr">
        <is>
          <t>@autoescolaegara</t>
        </is>
      </c>
      <c r="H28" s="2" t="inlineStr">
        <is>
          <t>622 81 82 29</t>
        </is>
      </c>
      <c r="I28" s="2" t="inlineStr">
        <is>
          <t>622 81 82 29</t>
        </is>
      </c>
      <c r="J28" s="2" t="inlineStr"/>
      <c r="K28" s="2" t="inlineStr">
        <is>
          <t>Sin chat</t>
        </is>
      </c>
      <c r="L28" s="2" t="inlineStr">
        <is>
          <t>Alta</t>
        </is>
      </c>
      <c r="M28" s="2" t="inlineStr">
        <is>
          <t>Instagram DM</t>
        </is>
      </c>
      <c r="N28" s="3" t="n"/>
      <c r="O28" s="3" t="n"/>
      <c r="P28" s="2">
        <f>IF(AND(ISNUMBER(N28),ISNUMBER(O28)),ROUND((O28-N28)*24,1),"")</f>
        <v/>
      </c>
      <c r="Q28" s="2">
        <f>IF(P28="","",IF(P28&lt;=0.25,"Rápido (≤15 min)",IF(P28&lt;=2,"Aceptable (≤2 h)","Lento (&gt;2 h)")))</f>
        <v/>
      </c>
      <c r="R28" s="2" t="inlineStr">
        <is>
          <t>Pendiente</t>
        </is>
      </c>
      <c r="S28" s="4" t="n"/>
      <c r="T28" s="2" t="inlineStr">
        <is>
          <t>Pequeña, local. Horario: lunes a jueves 10–13 y 17–19:30, viernes 10–13. El email está oculto por Cloudflare y no lo pude leer. Web hecha con la plataforma tuautoescuela.es.  [Chat: No aparece ningún widget ni enlace wa.me. El WhatsApp sale solo como texto en un banner («Anímate y contacta - WhatsApp 622818229»).]</t>
        </is>
      </c>
    </row>
    <row r="29">
      <c r="A29" s="2" t="n">
        <v>28</v>
      </c>
      <c r="B29" s="2" t="inlineStr">
        <is>
          <t>Autoescola La Rambla SCP</t>
        </is>
      </c>
      <c r="C29" s="2" t="inlineStr">
        <is>
          <t>Autoescuela</t>
        </is>
      </c>
      <c r="D29" s="2" t="inlineStr">
        <is>
          <t>Terrassa</t>
        </is>
      </c>
      <c r="E29" s="2" t="inlineStr">
        <is>
          <t>Rambla d'Arquímedes, 201 (08224)</t>
        </is>
      </c>
      <c r="F29" s="2" t="inlineStr">
        <is>
          <t>autoescolalarambla.com</t>
        </is>
      </c>
      <c r="G29" s="2" t="inlineStr"/>
      <c r="H29" s="2" t="inlineStr"/>
      <c r="I29" s="2" t="inlineStr">
        <is>
          <t>664 33 67 89 / 93 788 57 52</t>
        </is>
      </c>
      <c r="J29" s="2" t="inlineStr"/>
      <c r="K29" s="2" t="inlineStr">
        <is>
          <t>Sin chat</t>
        </is>
      </c>
      <c r="L29" s="2" t="inlineStr">
        <is>
          <t>Alta</t>
        </is>
      </c>
      <c r="M29" s="2" t="inlineStr">
        <is>
          <t>Teléfono</t>
        </is>
      </c>
      <c r="N29" s="3" t="n"/>
      <c r="O29" s="3" t="n"/>
      <c r="P29" s="2">
        <f>IF(AND(ISNUMBER(N29),ISNUMBER(O29)),ROUND((O29-N29)*24,1),"")</f>
        <v/>
      </c>
      <c r="Q29" s="2">
        <f>IF(P29="","",IF(P29&lt;=0.25,"Rápido (≤15 min)",IF(P29&lt;=2,"Aceptable (≤2 h)","Lento (&gt;2 h)")))</f>
        <v/>
      </c>
      <c r="R29" s="2" t="inlineStr">
        <is>
          <t>Pendiente</t>
        </is>
      </c>
      <c r="S29" s="4" t="n"/>
      <c r="T29" s="2" t="inlineStr">
        <is>
          <t>Muy pequeña, web en catalán. «Horaris personalitzats», dos motos por permiso. Buena candidata para web y chatbot.  [Chat: Web muy básica (IONOS MyWebsite). Sin widgets ni enlaces de WhatsApp.]</t>
        </is>
      </c>
    </row>
    <row r="30">
      <c r="A30" s="2" t="n">
        <v>29</v>
      </c>
      <c r="B30" s="2" t="inlineStr">
        <is>
          <t>Autoescuela Edeko</t>
        </is>
      </c>
      <c r="C30" s="2" t="inlineStr">
        <is>
          <t>Autoescuela</t>
        </is>
      </c>
      <c r="D30" s="2" t="inlineStr">
        <is>
          <t>Terrassa</t>
        </is>
      </c>
      <c r="E30" s="2" t="inlineStr">
        <is>
          <t>Av. de l'Abat Marcet, 341 (08225), cerca de la Ronda de Ponent</t>
        </is>
      </c>
      <c r="F30" s="2" t="inlineStr">
        <is>
          <t>autoescuelaedekoterrassa.com</t>
        </is>
      </c>
      <c r="G30" s="2" t="inlineStr">
        <is>
          <t>@autoescuelaedeko</t>
        </is>
      </c>
      <c r="H30" s="2" t="inlineStr"/>
      <c r="I30" s="2" t="inlineStr">
        <is>
          <t>606 59 48 60</t>
        </is>
      </c>
      <c r="J30" s="2" t="inlineStr">
        <is>
          <t>edekoinfo@gmail.com</t>
        </is>
      </c>
      <c r="K30" s="2" t="inlineStr">
        <is>
          <t>Sin chat</t>
        </is>
      </c>
      <c r="L30" s="2" t="inlineStr">
        <is>
          <t>Alta</t>
        </is>
      </c>
      <c r="M30" s="2" t="inlineStr">
        <is>
          <t>Instagram DM</t>
        </is>
      </c>
      <c r="N30" s="3" t="n"/>
      <c r="O30" s="3" t="n"/>
      <c r="P30" s="2">
        <f>IF(AND(ISNUMBER(N30),ISNUMBER(O30)),ROUND((O30-N30)*24,1),"")</f>
        <v/>
      </c>
      <c r="Q30" s="2">
        <f>IF(P30="","",IF(P30&lt;=0.25,"Rápido (≤15 min)",IF(P30&lt;=2,"Aceptable (≤2 h)","Lento (&gt;2 h)")))</f>
        <v/>
      </c>
      <c r="R30" s="2" t="inlineStr">
        <is>
          <t>Pendiente</t>
        </is>
      </c>
      <c r="S30" s="4" t="n"/>
      <c r="T30" s="2" t="inlineStr">
        <is>
          <t>Independiente, un solo local. El teléfono y el email no salen en la web: los saqué de su Facebook y de Páginas Amarillas. Horario: lunes a jueves 10–13 y 17–20, viernes 10–13. Activa en TikTok y YouTube. Misfaltasdeconducir.com publica un 52,11 % de aprobados.  [Chat: No hay widget de chat ni enlace wa.me o api.whatsapp en la portada.]</t>
        </is>
      </c>
    </row>
    <row r="31">
      <c r="A31" s="2" t="n">
        <v>30</v>
      </c>
      <c r="B31" s="2" t="inlineStr">
        <is>
          <t>Centros de Formación Autoescuelas Terrassa</t>
        </is>
      </c>
      <c r="C31" s="2" t="inlineStr">
        <is>
          <t>Autoescuela</t>
        </is>
      </c>
      <c r="D31" s="2" t="inlineStr">
        <is>
          <t>Terrassa</t>
        </is>
      </c>
      <c r="E31" s="2" t="inlineStr">
        <is>
          <t>C/ Tibidabo, 25 y C/ Castellsapera, 85 (08227)</t>
        </is>
      </c>
      <c r="F31" s="2" t="inlineStr">
        <is>
          <t>autoescolesterrassa.com</t>
        </is>
      </c>
      <c r="G31" s="2" t="inlineStr"/>
      <c r="H31" s="2" t="inlineStr"/>
      <c r="I31" s="2" t="inlineStr">
        <is>
          <t>93 731 87 47 (Tibidabo) / 93 731 81 02 (Castellsapera)</t>
        </is>
      </c>
      <c r="J31" s="2" t="inlineStr"/>
      <c r="K31" s="2" t="inlineStr">
        <is>
          <t>Sin chat</t>
        </is>
      </c>
      <c r="L31" s="2" t="inlineStr">
        <is>
          <t>Alta</t>
        </is>
      </c>
      <c r="M31" s="2" t="inlineStr">
        <is>
          <t>Teléfono</t>
        </is>
      </c>
      <c r="N31" s="3" t="n"/>
      <c r="O31" s="3" t="n"/>
      <c r="P31" s="2">
        <f>IF(AND(ISNUMBER(N31),ISNUMBER(O31)),ROUND((O31-N31)*24,1),"")</f>
        <v/>
      </c>
      <c r="Q31" s="2">
        <f>IF(P31="","",IF(P31&lt;=0.25,"Rápido (≤15 min)",IF(P31&lt;=2,"Aceptable (≤2 h)","Lento (&gt;2 h)")))</f>
        <v/>
      </c>
      <c r="R31" s="2" t="inlineStr">
        <is>
          <t>Pendiente</t>
        </is>
      </c>
      <c r="S31" s="4" t="n"/>
      <c r="T31" s="2" t="inlineStr">
        <is>
          <t>2 secciones en el mismo barrio. Prácticas de 06:00 a 22:00. Oficina de 10:30 a 12:30 y de 16:00 a 19:30, viernes por la tarde cerrado. Web anticuada.  [Chat: Web antigua sin widgets ni enlaces de WhatsApp (solo un icono decorativo «wechat» en la sección de teórica).]</t>
        </is>
      </c>
    </row>
    <row r="32">
      <c r="A32" s="2" t="n">
        <v>31</v>
      </c>
      <c r="B32" s="2" t="inlineStr">
        <is>
          <t>Segle XX Workout Club</t>
        </is>
      </c>
      <c r="C32" s="2" t="inlineStr">
        <is>
          <t>Box CrossFit</t>
        </is>
      </c>
      <c r="D32" s="2" t="inlineStr">
        <is>
          <t>Terrassa</t>
        </is>
      </c>
      <c r="E32" s="2" t="inlineStr">
        <is>
          <t>Carrer de Galícia, 40, zona industrial Segle XX</t>
        </is>
      </c>
      <c r="F32" s="2" t="inlineStr">
        <is>
          <t>seglexxclub.com</t>
        </is>
      </c>
      <c r="G32" s="2" t="inlineStr">
        <is>
          <t>@seglexx_box</t>
        </is>
      </c>
      <c r="H32" s="2" t="inlineStr"/>
      <c r="I32" s="2" t="inlineStr"/>
      <c r="J32" s="2" t="inlineStr">
        <is>
          <t>info@seglexxclub.com</t>
        </is>
      </c>
      <c r="K32" s="2" t="inlineStr">
        <is>
          <t>Sin chat</t>
        </is>
      </c>
      <c r="L32" s="2" t="inlineStr">
        <is>
          <t>Alta</t>
        </is>
      </c>
      <c r="M32" s="2" t="inlineStr">
        <is>
          <t>Instagram DM</t>
        </is>
      </c>
      <c r="N32" s="3" t="n"/>
      <c r="O32" s="3" t="n"/>
      <c r="P32" s="2">
        <f>IF(AND(ISNUMBER(N32),ISNUMBER(O32)),ROUND((O32-N32)*24,1),"")</f>
        <v/>
      </c>
      <c r="Q32" s="2">
        <f>IF(P32="","",IF(P32&lt;=0.25,"Rápido (≤15 min)",IF(P32&lt;=2,"Aceptable (≤2 h)","Lento (&gt;2 h)")))</f>
        <v/>
      </c>
      <c r="R32" s="2" t="inlineStr">
        <is>
          <t>Pendiente</t>
        </is>
      </c>
      <c r="S32" s="4" t="n"/>
      <c r="T32" s="2" t="inlineStr">
        <is>
          <t>Box funcional independiente. Tarifas publicadas de 59 a 98 €/mes. La clase de prueba se pide solo por formulario, sin respuesta inmediata.  [Chat: Web en Wix: no se ve widget de chat ni enlace de WhatsApp. Solo hay un formulario de clase gratuita. Un chat de Wix cargado por script podría no verse con mi método.]</t>
        </is>
      </c>
    </row>
    <row r="33">
      <c r="A33" s="2" t="n">
        <v>32</v>
      </c>
      <c r="B33" s="2" t="inlineStr">
        <is>
          <t>La Parca Cross Training</t>
        </is>
      </c>
      <c r="C33" s="2" t="inlineStr">
        <is>
          <t>Box CrossFit</t>
        </is>
      </c>
      <c r="D33" s="2" t="inlineStr">
        <is>
          <t>Terrassa</t>
        </is>
      </c>
      <c r="E33" s="2" t="inlineStr">
        <is>
          <t>Carrer d'Urquinaona, 78 (08222)</t>
        </is>
      </c>
      <c r="F33" s="2" t="inlineStr">
        <is>
          <t>laparcacrosstraining.com</t>
        </is>
      </c>
      <c r="G33" s="2" t="inlineStr">
        <is>
          <t>@crosstraininglaparca</t>
        </is>
      </c>
      <c r="H33" s="2" t="inlineStr">
        <is>
          <t>605 57 24 27</t>
        </is>
      </c>
      <c r="I33" s="2" t="inlineStr">
        <is>
          <t>605 57 24 27</t>
        </is>
      </c>
      <c r="J33" s="2" t="inlineStr">
        <is>
          <t>boxtraininglaparca@gmail.com</t>
        </is>
      </c>
      <c r="K33" s="2" t="inlineStr">
        <is>
          <t>Solo botón WhatsApp</t>
        </is>
      </c>
      <c r="L33" s="2" t="inlineStr">
        <is>
          <t>Alta</t>
        </is>
      </c>
      <c r="M33" s="2" t="inlineStr">
        <is>
          <t>Instagram DM</t>
        </is>
      </c>
      <c r="N33" s="3" t="n"/>
      <c r="O33" s="3" t="n"/>
      <c r="P33" s="2">
        <f>IF(AND(ISNUMBER(N33),ISNUMBER(O33)),ROUND((O33-N33)*24,1),"")</f>
        <v/>
      </c>
      <c r="Q33" s="2">
        <f>IF(P33="","",IF(P33&lt;=0.25,"Rápido (≤15 min)",IF(P33&lt;=2,"Aceptable (≤2 h)","Lento (&gt;2 h)")))</f>
        <v/>
      </c>
      <c r="R33" s="2" t="inlineStr">
        <is>
          <t>Pendiente</t>
        </is>
      </c>
      <c r="S33" s="4" t="n"/>
      <c r="T33" s="2" t="inlineStr">
        <is>
          <t>Pequeño e independiente («más que un box, una familia»). Ofrece fisioterapia, nutrición y clases kids. Todas las reservas de prueba van al WhatsApp.  [Chat: Varios botones wa.me/34605572427 con mensaje predefinido para cada plan («Quiero reservar mi CLASE DE PRUEBA GRATIS»). Sin bot.]</t>
        </is>
      </c>
    </row>
    <row r="34">
      <c r="A34" s="2" t="n">
        <v>33</v>
      </c>
      <c r="B34" s="2" t="inlineStr">
        <is>
          <t>CrossFit La Mola</t>
        </is>
      </c>
      <c r="C34" s="2" t="inlineStr">
        <is>
          <t>Box CrossFit</t>
        </is>
      </c>
      <c r="D34" s="2" t="inlineStr">
        <is>
          <t>Terrassa</t>
        </is>
      </c>
      <c r="E34" s="2" t="inlineStr">
        <is>
          <t>Av. del Vallès, 724C (08227)</t>
        </is>
      </c>
      <c r="F34" s="2" t="inlineStr">
        <is>
          <t>crossfitlamola.com</t>
        </is>
      </c>
      <c r="G34" s="2" t="inlineStr">
        <is>
          <t>@lamolacrossfit</t>
        </is>
      </c>
      <c r="H34" s="2" t="inlineStr">
        <is>
          <t>699 19 65 31</t>
        </is>
      </c>
      <c r="I34" s="2" t="inlineStr">
        <is>
          <t>699 19 65 31</t>
        </is>
      </c>
      <c r="J34" s="2" t="inlineStr"/>
      <c r="K34" s="2" t="inlineStr">
        <is>
          <t>Solo botón WhatsApp</t>
        </is>
      </c>
      <c r="L34" s="2" t="inlineStr">
        <is>
          <t>Alta</t>
        </is>
      </c>
      <c r="M34" s="2" t="inlineStr">
        <is>
          <t>Instagram DM</t>
        </is>
      </c>
      <c r="N34" s="3" t="n"/>
      <c r="O34" s="3" t="n"/>
      <c r="P34" s="2">
        <f>IF(AND(ISNUMBER(N34),ISNUMBER(O34)),ROUND((O34-N34)*24,1),"")</f>
        <v/>
      </c>
      <c r="Q34" s="2">
        <f>IF(P34="","",IF(P34&lt;=0.25,"Rápido (≤15 min)",IF(P34&lt;=2,"Aceptable (≤2 h)","Lento (&gt;2 h)")))</f>
        <v/>
      </c>
      <c r="R34" s="2" t="inlineStr">
        <is>
          <t>Pendiente</t>
        </is>
      </c>
      <c r="S34" s="4" t="n"/>
      <c r="T34" s="2" t="inlineStr">
        <is>
          <t>Box oficial e independiente. Horario: lunes a jueves 07:00–21:30, viernes 07:00–20:30, fines de semana 09:30–11:30. Primera clase gratis.  [Chat: Tarjeta de contacto con enlace wa.me/34699196531 y texto «escríbenos por WhatsApp». Sin widget de bot.]</t>
        </is>
      </c>
    </row>
    <row r="35">
      <c r="A35" s="2" t="n">
        <v>34</v>
      </c>
      <c r="B35" s="2" t="inlineStr">
        <is>
          <t>BEAT Pilates Studio</t>
        </is>
      </c>
      <c r="C35" s="2" t="inlineStr">
        <is>
          <t>Pilates</t>
        </is>
      </c>
      <c r="D35" s="2" t="inlineStr">
        <is>
          <t>Terrassa</t>
        </is>
      </c>
      <c r="E35" s="2" t="inlineStr">
        <is>
          <t>C/ Vinyals, 16 (08221), centro</t>
        </is>
      </c>
      <c r="F35" s="2" t="inlineStr">
        <is>
          <t>beatpilates.com</t>
        </is>
      </c>
      <c r="G35" s="2" t="inlineStr">
        <is>
          <t>@beat.pilates</t>
        </is>
      </c>
      <c r="H35" s="2" t="inlineStr">
        <is>
          <t>634 40 95 19</t>
        </is>
      </c>
      <c r="I35" s="2" t="inlineStr">
        <is>
          <t>634 40 95 19</t>
        </is>
      </c>
      <c r="J35" s="2" t="inlineStr">
        <is>
          <t>hola@beatpilates.com</t>
        </is>
      </c>
      <c r="K35" s="2" t="inlineStr">
        <is>
          <t>Solo botón WhatsApp</t>
        </is>
      </c>
      <c r="L35" s="2" t="inlineStr">
        <is>
          <t>Alta</t>
        </is>
      </c>
      <c r="M35" s="2" t="inlineStr">
        <is>
          <t>Instagram DM</t>
        </is>
      </c>
      <c r="N35" s="3" t="n"/>
      <c r="O35" s="3" t="n"/>
      <c r="P35" s="2">
        <f>IF(AND(ISNUMBER(N35),ISNUMBER(O35)),ROUND((O35-N35)*24,1),"")</f>
        <v/>
      </c>
      <c r="Q35" s="2">
        <f>IF(P35="","",IF(P35&lt;=0.25,"Rápido (≤15 min)",IF(P35&lt;=2,"Aceptable (≤2 h)","Lento (&gt;2 h)")))</f>
        <v/>
      </c>
      <c r="R35" s="2" t="inlineStr">
        <is>
          <t>Pendiente</t>
        </is>
      </c>
      <c r="S35" s="4" t="n"/>
      <c r="T35" s="2" t="inlineStr">
        <is>
          <t>Estudio boutique de pilates reformer en el centro. Unos 900 seguidores en IG. Reseñas recientes en la web (agosto de 2026).  [Chat: Botón «contacta» con enlace wa.me/34634409519. Sin bot ni chat en vivo.]</t>
        </is>
      </c>
    </row>
    <row r="36">
      <c r="A36" s="2" t="n">
        <v>35</v>
      </c>
      <c r="B36" s="2" t="inlineStr">
        <is>
          <t>Alazet Pilates Studio</t>
        </is>
      </c>
      <c r="C36" s="2" t="inlineStr">
        <is>
          <t>Pilates</t>
        </is>
      </c>
      <c r="D36" s="2" t="inlineStr">
        <is>
          <t>Terrassa</t>
        </is>
      </c>
      <c r="E36" s="2" t="inlineStr">
        <is>
          <t>Calle Balaguer, 1 - 3B (08227)</t>
        </is>
      </c>
      <c r="F36" s="2" t="inlineStr">
        <is>
          <t>alazetpilates.com</t>
        </is>
      </c>
      <c r="G36" s="2" t="inlineStr">
        <is>
          <t>@alazetpilates_studio</t>
        </is>
      </c>
      <c r="H36" s="2" t="inlineStr"/>
      <c r="I36" s="2" t="inlineStr">
        <is>
          <t>659 071 504</t>
        </is>
      </c>
      <c r="J36" s="2" t="inlineStr">
        <is>
          <t>info@alazetpilates.com</t>
        </is>
      </c>
      <c r="K36" s="2" t="inlineStr">
        <is>
          <t>Sin chat</t>
        </is>
      </c>
      <c r="L36" s="2" t="inlineStr">
        <is>
          <t>Alta</t>
        </is>
      </c>
      <c r="M36" s="2" t="inlineStr">
        <is>
          <t>Instagram DM</t>
        </is>
      </c>
      <c r="N36" s="3" t="n"/>
      <c r="O36" s="3" t="n"/>
      <c r="P36" s="2">
        <f>IF(AND(ISNUMBER(N36),ISNUMBER(O36)),ROUND((O36-N36)*24,1),"")</f>
        <v/>
      </c>
      <c r="Q36" s="2">
        <f>IF(P36="","",IF(P36&lt;=0.25,"Rápido (≤15 min)",IF(P36&lt;=2,"Aceptable (≤2 h)","Lento (&gt;2 h)")))</f>
        <v/>
      </c>
      <c r="R36" s="2" t="inlineStr">
        <is>
          <t>Pendiente</t>
        </is>
      </c>
      <c r="S36" s="4" t="n"/>
      <c r="T36" s="2" t="inlineStr">
        <is>
          <t>Estudio pequeño (pilates e hipopresivos) llevado por Yolanda. Web WordPress sencilla. Tiene aparcamiento amplio.  [Chat: Ni la portada ni la página de contacto tienen widget de chat o enlace de WhatsApp. Solo formulario.]</t>
        </is>
      </c>
    </row>
    <row r="37">
      <c r="A37" s="2" t="n">
        <v>36</v>
      </c>
      <c r="B37" s="2" t="inlineStr">
        <is>
          <t>Boisà Pilates</t>
        </is>
      </c>
      <c r="C37" s="2" t="inlineStr">
        <is>
          <t>Pilates</t>
        </is>
      </c>
      <c r="D37" s="2" t="inlineStr">
        <is>
          <t>Terrassa</t>
        </is>
      </c>
      <c r="E37" s="2" t="inlineStr">
        <is>
          <t>Ctra. de Montcada, 584, 1A (08222)</t>
        </is>
      </c>
      <c r="F37" s="2" t="inlineStr">
        <is>
          <t>boisapilates.com</t>
        </is>
      </c>
      <c r="G37" s="2" t="inlineStr"/>
      <c r="H37" s="2" t="inlineStr"/>
      <c r="I37" s="2" t="inlineStr">
        <is>
          <t>608 93 77 87</t>
        </is>
      </c>
      <c r="J37" s="2" t="inlineStr">
        <is>
          <t>boisapilates@gmail.com</t>
        </is>
      </c>
      <c r="K37" s="2" t="inlineStr">
        <is>
          <t>Sin chat</t>
        </is>
      </c>
      <c r="L37" s="2" t="inlineStr">
        <is>
          <t>Alta</t>
        </is>
      </c>
      <c r="M37" s="2" t="inlineStr">
        <is>
          <t>Teléfono</t>
        </is>
      </c>
      <c r="N37" s="3" t="n"/>
      <c r="O37" s="3" t="n"/>
      <c r="P37" s="2">
        <f>IF(AND(ISNUMBER(N37),ISNUMBER(O37)),ROUND((O37-N37)*24,1),"")</f>
        <v/>
      </c>
      <c r="Q37" s="2">
        <f>IF(P37="","",IF(P37&lt;=0.25,"Rápido (≤15 min)",IF(P37&lt;=2,"Aceptable (≤2 h)","Lento (&gt;2 h)")))</f>
        <v/>
      </c>
      <c r="R37" s="2" t="inlineStr">
        <is>
          <t>Pendiente</t>
        </is>
      </c>
      <c r="S37" s="4" t="n"/>
      <c r="T37" s="2" t="inlineStr">
        <is>
          <t>Estudio pequeño: pilates funcional, método Garuda, senior, yoga y dance. El email lo saqué de una subpágina de su web (vista en los resultados del buscador). Tiene IG, pero no conseguí ver el usuario.  [Chat: Web en Wix: no se ve widget de chat ni enlace de WhatsApp, solo enlace tel: y formulario («¿necesitas ayuda?»). Un chat de Wix cargado por script podría no verse.]</t>
        </is>
      </c>
    </row>
  </sheetData>
  <autoFilter ref="A1:T37"/>
  <dataValidations count="2">
    <dataValidation sqref="R2:R37" showDropDown="0" showInputMessage="0" showErrorMessage="0" allowBlank="1" type="list">
      <formula1>"Pendiente,Prueba hecha,Contactado,Respondió,Llamada agendada,Cliente,No interesado"</formula1>
    </dataValidation>
    <dataValidation sqref="L2:L37" showDropDown="0" showInputMessage="0" showErrorMessage="0" allowBlank="0" type="list">
      <formula1>"Alta,Media,Baja"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Cómo usar esta hoja</t>
        </is>
      </c>
    </row>
    <row r="2">
      <c r="A2" s="6" t="inlineStr">
        <is>
          <t>1. Las celdas en naranja claro (columnas N, O y S) son las que rellenas tú.</t>
        </is>
      </c>
    </row>
    <row r="3">
      <c r="A3" s="6" t="inlineStr">
        <is>
          <t>2. 'Tiempo de respuesta' y 'Resultado' se calculan solos.</t>
        </is>
      </c>
    </row>
    <row r="4">
      <c r="A4" s="6" t="inlineStr">
        <is>
          <t>3. 'Estado del contacto' tiene un desplegable: Pendiente → Prueba hecha → Contactado → Respondió → Llamada agendada → Cliente.</t>
        </is>
      </c>
    </row>
    <row r="5">
      <c r="A5" s="6" t="inlineStr">
        <is>
          <t>4. 'Chat en la web': «Sin chat» o «Solo botón WhatsApp» = buen candidato (ningún bot responde por ellos).</t>
        </is>
      </c>
    </row>
    <row r="6">
      <c r="A6" s="6" t="n"/>
    </row>
    <row r="7">
      <c r="A7" s="5" t="inlineStr">
        <is>
          <t>Fuentes</t>
        </is>
      </c>
    </row>
    <row r="8">
      <c r="A8" s="6" t="inlineStr">
        <is>
          <t>Datos de contacto sacados de la web pública de cada centro y de directorios (13/10/2026). Antes de escribir, comprueba en su Instagram que siguen activos.</t>
        </is>
      </c>
    </row>
    <row r="9">
      <c r="A9" s="6" t="inlineStr">
        <is>
          <t>Prioridad: Alta = centro pequeño/independiente que gestiona su propio WhatsApp; Baja = cadena o franquicia (decisión lenta).</t>
        </is>
      </c>
    </row>
    <row r="10">
      <c r="A10" s="6" t="n"/>
    </row>
    <row r="11">
      <c r="A11" s="5" t="inlineStr">
        <is>
          <t>Aviso legal</t>
        </is>
      </c>
    </row>
    <row r="12">
      <c r="A12" s="6" t="inlineStr">
        <is>
          <t>Contacto uno a uno y personalizado. No envíes mensajes comerciales masivos por email o WhatsApp sin consentimiento (LSSI). Si alguien dice que no, márcalo 'No interesado' y no insistas.</t>
        </is>
      </c>
    </row>
    <row r="14">
      <c r="A14" t="inlineStr">
        <is>
          <t>Columnas a rellenar en esta hoja: N (mensaje enviado), O (primera respuesta) y S (próximo paso). «Chat en la web» se comprobó el 13/10/2026 mirando la web (enlaces y elementos visibles); un chat que solo cargue por JavaScript podría no detectarse.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2026-10-13T20:00:36Z</dcterms:created>
  <dcterms:modified xsi:type="dcterms:W3CDTF">2026-10-13T20:00:46Z</dcterms:modified>
</cp:coreProperties>
</file>